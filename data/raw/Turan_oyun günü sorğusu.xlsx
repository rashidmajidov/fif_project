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.LOC0327\Desktop\"/>
    </mc:Choice>
  </mc:AlternateContent>
  <xr:revisionPtr revIDLastSave="0" documentId="13_ncr:1_{CBBF3775-E9FF-4067-AF78-954C9DB9A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  <sheet name="Fanfud xərc" sheetId="3" state="hidden" r:id="rId2"/>
    <sheet name="Fanşop xərc" sheetId="4" state="hidden" r:id="rId3"/>
    <sheet name="Problemlər" sheetId="5" state="hidden" r:id="rId4"/>
    <sheet name="Uşaqlarla oyun" sheetId="6" state="hidden" r:id="rId5"/>
    <sheet name="Sheet9" sheetId="7" state="hidden" r:id="rId6"/>
    <sheet name="Ailə" sheetId="10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0" l="1"/>
  <c r="E3" i="10" s="1"/>
  <c r="D2" i="10"/>
  <c r="E2" i="10" s="1"/>
  <c r="B54" i="7"/>
  <c r="B58" i="7" s="1"/>
  <c r="A56" i="6"/>
  <c r="A55" i="6"/>
  <c r="B68" i="5"/>
  <c r="B67" i="5"/>
  <c r="B66" i="5"/>
  <c r="B65" i="5"/>
  <c r="B64" i="5"/>
  <c r="A11" i="4"/>
  <c r="D31" i="3"/>
</calcChain>
</file>

<file path=xl/sharedStrings.xml><?xml version="1.0" encoding="utf-8"?>
<sst xmlns="http://schemas.openxmlformats.org/spreadsheetml/2006/main" count="1481" uniqueCount="295">
  <si>
    <t>Oyun zamanı satışda olan klubun məhsullarına nə qədər pul xərcləmisiniz?</t>
  </si>
  <si>
    <t>Oyun zamanı satışda olan qida və içkilərə ortalama nə qədər pul xərcləmisiniz?
məbləğ(AZN)</t>
  </si>
  <si>
    <t>3-4</t>
  </si>
  <si>
    <t xml:space="preserve">7-8 </t>
  </si>
  <si>
    <t>Stadionda neçə sponsor reklamı gördünüz?</t>
  </si>
  <si>
    <t xml:space="preserve">Bunlar hansılardır? </t>
  </si>
  <si>
    <t>Huner group, Tovuz Mall</t>
  </si>
  <si>
    <t>8 manat</t>
  </si>
  <si>
    <t>Timestamp</t>
  </si>
  <si>
    <t>huner group</t>
  </si>
  <si>
    <t>Turan Tovuz PFK-nın oyunlarını  hansı tezlikdə izləyirsiniz?</t>
  </si>
  <si>
    <t>7-dən çox</t>
  </si>
  <si>
    <t>Hansı səbəbdən oyunları tez tez izləmirsiniz?</t>
  </si>
  <si>
    <t>10 manata kimi</t>
  </si>
  <si>
    <t>Huner Group</t>
  </si>
  <si>
    <t>Oyunları əsasən necə izləyirsiniz?</t>
  </si>
  <si>
    <t>10 AZN</t>
  </si>
  <si>
    <t>huner group, ada store</t>
  </si>
  <si>
    <t>Oyunları hansı səbəbdən stadionda izləmirsiniz?</t>
  </si>
  <si>
    <t>Oyun barədə məlumatı haradan əldə etmisiniz?</t>
  </si>
  <si>
    <t>huner group, oyal, böyük qışlaq su</t>
  </si>
  <si>
    <t>Bileti haradan almısınız?</t>
  </si>
  <si>
    <t>Stadiona getmək üçün hansı vasitədən istifadə etmisiniz?</t>
  </si>
  <si>
    <t>Stadionda son izlədiyiniz oyunu sizinlə neçə nəfər gəlib?</t>
  </si>
  <si>
    <t>Hüner group/tovuz mall</t>
  </si>
  <si>
    <t>Stadionda son izlədiyiniz oyunu sizinlə gələnlərin arasında uşaq var idi?
bir neçə uşaq gəlmişdirsə, sayı "digər" bölməsində qeyd edə bilərsiniz</t>
  </si>
  <si>
    <t>5-6</t>
  </si>
  <si>
    <t>Sizcə, oyuna ailənizlə gəlmək üçün şərait uyğundurmu?</t>
  </si>
  <si>
    <t>Hünər Grup</t>
  </si>
  <si>
    <t xml:space="preserve">Xahiş edirik stadiona gedərkən üzləşdiyiniz problemləri qeyd edin: </t>
  </si>
  <si>
    <t>Xahiş edirik stadionda üzləşdiyiniz problemləri qeyd edin:</t>
  </si>
  <si>
    <t>taniks/az group/hüner group/kapital bank plakat</t>
  </si>
  <si>
    <t xml:space="preserve">Xahiş edirik stadiondan çıxarkən üzləşdiyiniz problemləri qeyd edin: </t>
  </si>
  <si>
    <t>Stadion ərazisində satışda olan qida və içkilər almısınızmı?</t>
  </si>
  <si>
    <t xml:space="preserve">huner, tovuz su, </t>
  </si>
  <si>
    <t>Satış məntəqələrinin əlçatan olması</t>
  </si>
  <si>
    <t>hg/tovuz su/FİF</t>
  </si>
  <si>
    <t>Qida və içkilərin çeşidləri</t>
  </si>
  <si>
    <t>5-6man</t>
  </si>
  <si>
    <t xml:space="preserve">Qida və içkilərin keyfiyyəti </t>
  </si>
  <si>
    <t>5manat</t>
  </si>
  <si>
    <t>Hünər qrup</t>
  </si>
  <si>
    <t>Qida və içkilərin qiyməti</t>
  </si>
  <si>
    <t>Stadion ərazisindəki fanşopdan klubun məhsullarını almısınızmı?</t>
  </si>
  <si>
    <t>Satış məntəqələrinin əlçatan olması 2</t>
  </si>
  <si>
    <t>Məhsulların çeşidləri</t>
  </si>
  <si>
    <t xml:space="preserve">Məhsulların keyfiyyəti </t>
  </si>
  <si>
    <t>Bilet alma prosesini necə qiymətləndirirsiniz?</t>
  </si>
  <si>
    <t>Bilet yoxlayan əməkdaşların işini necə qiymətləndirirsiniz?</t>
  </si>
  <si>
    <t xml:space="preserve">huner group, </t>
  </si>
  <si>
    <t>Təhlükəsizlik xidmətinin işini necə qiymətləndirirsiniz?</t>
  </si>
  <si>
    <t>Könüllülərin işini necə qiymətləndirirsiniz? (istiqamətin göstərilməsi, sualların cavablandırılması və s.)</t>
  </si>
  <si>
    <t>Tribunaların təmizliyini necə qiymətləndirirsiniz?</t>
  </si>
  <si>
    <t>Tualetlərin təmizliyini necə qiymətləndirirsiniz?</t>
  </si>
  <si>
    <t>Hünər Qrup</t>
  </si>
  <si>
    <t>Stadionda olan ab-havanı necə qiymətləndirirsiniz?</t>
  </si>
  <si>
    <t>Ümumi oyunun təşkilini necə qiymətləndirirsiniz?</t>
  </si>
  <si>
    <t>Klubun faəliyyətini necə dəyərləndirirsiniz?</t>
  </si>
  <si>
    <t>Sponsorun dəstəyini necə dəyərləndirirsiniz?</t>
  </si>
  <si>
    <t>Hünər Qurup</t>
  </si>
  <si>
    <t>Son oyundakı təcrübənizə əsasən, Turan Tovuz PFK-nın növbəti oyunlarını stadionda izləmək istəyərdiniz?</t>
  </si>
  <si>
    <t>Son oyundakı təcrübənizə əsasən, dostlarınıza Turan Tovuz PFK-nın oyunlarını stadionda izləməyi tövsiyə edərsiniz?</t>
  </si>
  <si>
    <t>Ad, soyad</t>
  </si>
  <si>
    <t>Cins</t>
  </si>
  <si>
    <t xml:space="preserve">Tovuz su,Hünər Qrup </t>
  </si>
  <si>
    <t xml:space="preserve">Yaşınız
</t>
  </si>
  <si>
    <t>Calc1</t>
  </si>
  <si>
    <t>Məşğuliyyət</t>
  </si>
  <si>
    <t xml:space="preserve">huner group </t>
  </si>
  <si>
    <t>Ailə vəziyyəti</t>
  </si>
  <si>
    <t>Turan Tovuz PFK-nın fəaliyyəti ilə bağlı məlumat almaq istəyirsinizmi?</t>
  </si>
  <si>
    <t>Calc2</t>
  </si>
  <si>
    <t>Qeydlər</t>
  </si>
  <si>
    <t>Calc3</t>
  </si>
  <si>
    <t>Harada yaşayırsınız, oyunu izləməyə haradan gəlmisiniz?
rayon/kəndin adını qeyd edin</t>
  </si>
  <si>
    <t>Heç bir problemlə üzləşmədim</t>
  </si>
  <si>
    <t>huner</t>
  </si>
  <si>
    <t>Məhsulların qiyməti</t>
  </si>
  <si>
    <t>tütün istifadəsi</t>
  </si>
  <si>
    <t>Column 46</t>
  </si>
  <si>
    <t>Bəli</t>
  </si>
  <si>
    <t>Hünər Qrup və digər</t>
  </si>
  <si>
    <t>Xeyr</t>
  </si>
  <si>
    <t>Hər oyununu izləyirəm</t>
  </si>
  <si>
    <t>Tovuz Su Hünər Qrup</t>
  </si>
  <si>
    <t>Stadiondan çıxış zamanı sıxlıq olması</t>
  </si>
  <si>
    <t>Stadionda baxıram</t>
  </si>
  <si>
    <t>Hünər Qrup Tovuz su və digərləri</t>
  </si>
  <si>
    <t>Stadiona giriş zamanı sıraların çox olması (vaxt itkisi), butulkaların qapagının açıq olması</t>
  </si>
  <si>
    <t>Sosial media kanallarından</t>
  </si>
  <si>
    <t>Stadionun kassasından</t>
  </si>
  <si>
    <t>Piyada</t>
  </si>
  <si>
    <t>Huner qurup</t>
  </si>
  <si>
    <t>Hüner Qrup</t>
  </si>
  <si>
    <t>Qarşı tribunanın üstünün bağlı olması</t>
  </si>
  <si>
    <t>Maşın saxlamaq olmur polislər qoymur. Gəlir çərimə yazır</t>
  </si>
  <si>
    <t>qadın tualetinden kşilərin istifadə etməsi</t>
  </si>
  <si>
    <t>Stadionun parkinqində yerin az olması, Heç bir problemlə üzləşmədim</t>
  </si>
  <si>
    <t>Tütün məhsullarının istifadəsi. Smiçka çırtdamaları</t>
  </si>
  <si>
    <t>Tovuz su. Hünər qurup. Racism. Misli. Pfl. az</t>
  </si>
  <si>
    <t>Stadiondan çıxış zamanı sıxlıq olması, Heç bir problemlə üzləşmədim</t>
  </si>
  <si>
    <t xml:space="preserve">Böyük qışlaq suyu hauder </t>
  </si>
  <si>
    <t>Söyüş söyülür</t>
  </si>
  <si>
    <t>Tural İmanov</t>
  </si>
  <si>
    <t>Kişi</t>
  </si>
  <si>
    <t>Oturacağım çirkli olması</t>
  </si>
  <si>
    <t>İşləyirəm</t>
  </si>
  <si>
    <t>Evli</t>
  </si>
  <si>
    <t>Tovuz şəhəri</t>
  </si>
  <si>
    <t>Avtomobil tıxacları</t>
  </si>
  <si>
    <t>Stadionun parkinqində yerin az olması</t>
  </si>
  <si>
    <t>Biletimdə göstərilən yerdə başqası oturmuşdu</t>
  </si>
  <si>
    <t>Şəhərdə yerləşən posterlərdən</t>
  </si>
  <si>
    <t>Oturacağım çirkli olması, Tualetlərin çirkli olması</t>
  </si>
  <si>
    <t>birinci time çıxanda qapının bağlı olması</t>
  </si>
  <si>
    <t>Biletimdə göstərilən yerdə başqası oturmuşdu, Oturacağım çirkli olması</t>
  </si>
  <si>
    <t>Stadiondan çıxış zamanı sıxlıq olması, Avtomobil tıxacları</t>
  </si>
  <si>
    <t>Stadiona giriş zamanı sıraların çox olması (vaxt itkisi)</t>
  </si>
  <si>
    <t>Rüstəm Zeynalov</t>
  </si>
  <si>
    <t>İşsizəm</t>
  </si>
  <si>
    <t>Oruc tuturuq suların qapağını açılmağı</t>
  </si>
  <si>
    <t>Tanışlardan</t>
  </si>
  <si>
    <t>Dəvətnamə veriblər</t>
  </si>
  <si>
    <t>Taksi</t>
  </si>
  <si>
    <t>Column 1</t>
  </si>
  <si>
    <t>Stadiona çatmaq üçün sərf olunan vaxtın çox, yolun isə uzun olması</t>
  </si>
  <si>
    <t>Tütün, söyüş</t>
  </si>
  <si>
    <t>10+</t>
  </si>
  <si>
    <t>Tək gəlmişəm</t>
  </si>
  <si>
    <t>Gülnarə Qədirova</t>
  </si>
  <si>
    <t>Qadın</t>
  </si>
  <si>
    <t xml:space="preserve">2 Oğul ilə gəlib </t>
  </si>
  <si>
    <t>Dostları ilə</t>
  </si>
  <si>
    <t>Yaşasın Tovuz</t>
  </si>
  <si>
    <t xml:space="preserve">Oturacağım çirkli olması, oturacaqlarda çuxolun olması </t>
  </si>
  <si>
    <t>İctimai nəqliyyat</t>
  </si>
  <si>
    <t>Əksər oyunları izləyirəm</t>
  </si>
  <si>
    <t>Nadir izləyirəm</t>
  </si>
  <si>
    <t>İzləməyə vaxtım yoxdur</t>
  </si>
  <si>
    <t>Oyunlar barədə məlumatım olmur</t>
  </si>
  <si>
    <t xml:space="preserve">Heç bir problemlə üzləşmədim, </t>
  </si>
  <si>
    <t>Futbolçular zəifdir</t>
  </si>
  <si>
    <t>Sameddin qumasov</t>
  </si>
  <si>
    <t>futbola marağ yoxdu</t>
  </si>
  <si>
    <t>Stadiona giriş də bilet yoxlayanın az olması</t>
  </si>
  <si>
    <t>USTA</t>
  </si>
  <si>
    <t>Evdə, televizorda izləyirəm</t>
  </si>
  <si>
    <t>NISALLAH TURUN KULUBUNU AVROPADA GORUM.</t>
  </si>
  <si>
    <t>Tovuz R.N Azafli kend</t>
  </si>
  <si>
    <t>Onlayn izləyirəm</t>
  </si>
  <si>
    <t>Komandanının zəifliyinə görə</t>
  </si>
  <si>
    <t>Stadiona getməyə vaxtım olmur</t>
  </si>
  <si>
    <t>Səyyar satış məntəqəsindən</t>
  </si>
  <si>
    <t>Stadionda izləməyi sevmirəm</t>
  </si>
  <si>
    <t>Şəxsi avtomobil</t>
  </si>
  <si>
    <t>Stadionun girişindən</t>
  </si>
  <si>
    <t>Rəşad Şrinov</t>
  </si>
  <si>
    <t>Şəhərin mərkəzindəki satış məntəqəsindən</t>
  </si>
  <si>
    <t>Qaziyəm</t>
  </si>
  <si>
    <t>Söyüş söyülməsi</t>
  </si>
  <si>
    <t>Stadionu tapmaqda çətinlik çəkdim</t>
  </si>
  <si>
    <t>Tualetlərin çirkli olması</t>
  </si>
  <si>
    <t>Tütün istifadəsi</t>
  </si>
  <si>
    <t>Qeyri etik ifadələr işlənməsi</t>
  </si>
  <si>
    <t>Qadın tualetindən kşilərin istifadə etməsi</t>
  </si>
  <si>
    <t>Tum çıxtdanması</t>
  </si>
  <si>
    <t>Tribunada öz yerimi tapmaqda çətinlik çəkdim</t>
  </si>
  <si>
    <t>Digər</t>
  </si>
  <si>
    <t>Parkinq yerinin olmaması</t>
  </si>
  <si>
    <t>İsmixan Adıgözəlöv</t>
  </si>
  <si>
    <t>Stadiona getməyə vaxtım olmur, İşdə oluram</t>
  </si>
  <si>
    <t>Şahin Kərimov</t>
  </si>
  <si>
    <t>Suni ot örtüyü təbii ot örtüyü ilə əvəzlənsə əla olar</t>
  </si>
  <si>
    <t>Tovuz r</t>
  </si>
  <si>
    <t>Subay</t>
  </si>
  <si>
    <t>Ancaq hünər qrup</t>
  </si>
  <si>
    <t>Fərid Əliyev</t>
  </si>
  <si>
    <t>Düz cırdaxan kəndi</t>
  </si>
  <si>
    <t>Elsəvər Cəfərov</t>
  </si>
  <si>
    <t>Şəhid qardaşıdı</t>
  </si>
  <si>
    <t>Əlimərdanlı</t>
  </si>
  <si>
    <t>Ailə ilə gəlmək olmur söyüş söyülür.</t>
  </si>
  <si>
    <t>Ancaq uşaqlarla gəlməyə uygundur</t>
  </si>
  <si>
    <t>he</t>
  </si>
  <si>
    <t>Söüşün söyülməsi</t>
  </si>
  <si>
    <t>Məktəbli</t>
  </si>
  <si>
    <t>Söyüş çox söyülür ailə üçün xüsusi yer yoxdu</t>
  </si>
  <si>
    <t>Tələbə</t>
  </si>
  <si>
    <t>Nübar Süleymanova</t>
  </si>
  <si>
    <t xml:space="preserve">Bəzi yerlərdə bəli vip </t>
  </si>
  <si>
    <t xml:space="preserve">50 faiz </t>
  </si>
  <si>
    <t>Təqaüdçü</t>
  </si>
  <si>
    <t>Ailəli yer olsun yaxşı olar</t>
  </si>
  <si>
    <t>Xüsusi zona olsa gəlmək olar</t>
  </si>
  <si>
    <t>çox bərbaddı. natəmizlik , söüş, semiçka</t>
  </si>
  <si>
    <t>Bilet alınmır</t>
  </si>
  <si>
    <t>Ülviyyə Mustafayeva</t>
  </si>
  <si>
    <t xml:space="preserve">Cəlilli </t>
  </si>
  <si>
    <t>Rafiq Abbasov</t>
  </si>
  <si>
    <t>Avropaya getsinlər satdion ot örtüyü təbii olsun</t>
  </si>
  <si>
    <t xml:space="preserve">Qovlar </t>
  </si>
  <si>
    <t>Gündüz Rzayev</t>
  </si>
  <si>
    <t>Dərya Məsimov</t>
  </si>
  <si>
    <t>Köhnə qala - Tovuzun kəndi</t>
  </si>
  <si>
    <t>Elton Nuriyev</t>
  </si>
  <si>
    <t>tovuz r</t>
  </si>
  <si>
    <t>Livescore proqram</t>
  </si>
  <si>
    <t>Polad Tağıyev</t>
  </si>
  <si>
    <t>Tovuz</t>
  </si>
  <si>
    <t>Oyunçuları dəyişik.</t>
  </si>
  <si>
    <t>Biletlər Kamran</t>
  </si>
  <si>
    <t>3 / 1 oğ 2 qiz</t>
  </si>
  <si>
    <t>Vəliyev Tural</t>
  </si>
  <si>
    <t>Sponsor reklamları sayını dəqiqləşdir</t>
  </si>
  <si>
    <t>Eltay Aslanov</t>
  </si>
  <si>
    <t>Alakol</t>
  </si>
  <si>
    <t>Əlyar Mahmudov</t>
  </si>
  <si>
    <t>tovuz rayonu</t>
  </si>
  <si>
    <t>Aliyev Amil</t>
  </si>
  <si>
    <t>1 hünər qrupu bilir</t>
  </si>
  <si>
    <t>Arif Abbasov</t>
  </si>
  <si>
    <t xml:space="preserve"> </t>
  </si>
  <si>
    <t>Tovuz Şəhərinin özündən</t>
  </si>
  <si>
    <t>görməyib</t>
  </si>
  <si>
    <t>yadında deyil</t>
  </si>
  <si>
    <t>Seymır Sarıyev</t>
  </si>
  <si>
    <t>Amil Mehdiyev</t>
  </si>
  <si>
    <t>Ayaz Məmmədov</t>
  </si>
  <si>
    <t>Mikrafonu düzəltmək kalonkalarını düzəltmək.</t>
  </si>
  <si>
    <t>Şəhərin özündə</t>
  </si>
  <si>
    <t>30man</t>
  </si>
  <si>
    <t>Rövlan Rəsulzadə</t>
  </si>
  <si>
    <t>Avtomobil ustasi</t>
  </si>
  <si>
    <t xml:space="preserve">Komandamıza uğurlar arzu edirem
</t>
  </si>
  <si>
    <t>Tovuz r_n duz cirdaxan kəndi</t>
  </si>
  <si>
    <t>85 manat</t>
  </si>
  <si>
    <t xml:space="preserve">Hüseynov Əsgər </t>
  </si>
  <si>
    <t xml:space="preserve">Aşağı quşçu </t>
  </si>
  <si>
    <t>Azad İsmayılov</t>
  </si>
  <si>
    <t>Samir Həsənov</t>
  </si>
  <si>
    <t>Çingiz Qarayev</t>
  </si>
  <si>
    <t>Yoxdu</t>
  </si>
  <si>
    <t>MirAsif Seyidov</t>
  </si>
  <si>
    <t>Aşğıqulşu</t>
  </si>
  <si>
    <t>bakı da qalıram</t>
  </si>
  <si>
    <t>Hüseynov Ramil</t>
  </si>
  <si>
    <t>Bakı</t>
  </si>
  <si>
    <t>Aliyev Ramal</t>
  </si>
  <si>
    <t>bozalqanlı</t>
  </si>
  <si>
    <t>Elmar Ələsgərov</t>
  </si>
  <si>
    <t>bozaqanlı</t>
  </si>
  <si>
    <t>Eldəniz Ələkbərov</t>
  </si>
  <si>
    <t>əsrik çırdaxan</t>
  </si>
  <si>
    <t xml:space="preserve">Stadion uzaq yerləşdiyinə görə, </t>
  </si>
  <si>
    <t>Namiq Bayramov</t>
  </si>
  <si>
    <t>Əsrik kəndi</t>
  </si>
  <si>
    <t>Samir Əsgərov</t>
  </si>
  <si>
    <t>Əyyublu kəndində qalır</t>
  </si>
  <si>
    <t>Forma</t>
  </si>
  <si>
    <t xml:space="preserve">Kənd </t>
  </si>
  <si>
    <t>Anar Nagiyev</t>
  </si>
  <si>
    <t>Klub hücum futbolu oynamır. qol vuru müdafiədə oturu</t>
  </si>
  <si>
    <t>Qovullar</t>
  </si>
  <si>
    <t>Elxan Hacıyev</t>
  </si>
  <si>
    <t>1985 martın 14</t>
  </si>
  <si>
    <t>Qozaqanlı</t>
  </si>
  <si>
    <t>Ayaz Teymurov</t>
  </si>
  <si>
    <t xml:space="preserve">Sadəc oyunlarını düzəltsinlər düzgün oyunasınlar. Qələbə lazımdı </t>
  </si>
  <si>
    <t>Tofiq Salmanov</t>
  </si>
  <si>
    <t>Elşən Namazov</t>
  </si>
  <si>
    <t>Güclü komandayla yaxşı oynayır zəyif komandalara uduzur. Arashı bəyənmirəm deyir yaxşı oyunçu deyil. Ot örtüyünü dəyişlsə yaxşı olar.</t>
  </si>
  <si>
    <t xml:space="preserve">Aqil Əliyev </t>
  </si>
  <si>
    <t>Samir Sarıyev</t>
  </si>
  <si>
    <t xml:space="preserve">Tovuz </t>
  </si>
  <si>
    <t>Suleyman Abdullayev</t>
  </si>
  <si>
    <t xml:space="preserve">tovuz </t>
  </si>
  <si>
    <t>Dostunun qızı ilə</t>
  </si>
  <si>
    <t>Xəyal Əşrəfli</t>
  </si>
  <si>
    <t>Ailə üçün xüsusi vip olsa yaxşı olar ailəmizdə gələ bilər</t>
  </si>
  <si>
    <t>Tovuz özündə</t>
  </si>
  <si>
    <t>Çox vaxt bakıda olur</t>
  </si>
  <si>
    <t>Sabir Mirzəyiv</t>
  </si>
  <si>
    <t>Hakim haksızlığı. Çəkliş pisdi deyir. Hakim haksızlığı var Turan Tovuza</t>
  </si>
  <si>
    <t>Tovuz özündən</t>
  </si>
  <si>
    <t>Tağıyev Vidadi</t>
  </si>
  <si>
    <t>tovuz ş</t>
  </si>
  <si>
    <t>Vahid Əhmədov</t>
  </si>
  <si>
    <t>Zədəlilər qayıtsa avropaya getmək istəyir.Turan Tovuza görə nəvəsinə Turan adı qoyub</t>
  </si>
  <si>
    <t>Tovuz Şəhəri</t>
  </si>
  <si>
    <t>Yelmar Alızadə</t>
  </si>
  <si>
    <t>Xatınlı kəndinə</t>
  </si>
  <si>
    <t>Fikir vermədim</t>
  </si>
  <si>
    <t>Görmədim</t>
  </si>
  <si>
    <t>Ruslan Qasımov</t>
  </si>
  <si>
    <t>Həsənov Vüqar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</si>
</sst>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2" fontId="1" fillId="2" borderId="0" xfId="0" applyNumberFormat="1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/>
    <xf numFmtId="0" fontId="1" fillId="0" borderId="0" xfId="0" applyFont="1" applyAlignment="1"/>
    <xf numFmtId="0" fontId="1" fillId="3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7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D6CFE0"/>
          <bgColor rgb="FFD6CFE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9">
    <tableStyle name="Fanşop xərc-style" pivot="0" count="4" xr9:uid="{00000000-0011-0000-FFFF-FFFF00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Fanfud xərc-style" pivot="0" count="4" xr9:uid="{00000000-0011-0000-FFFF-FFFF01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Sponsor-style" pivot="0" count="5" xr9:uid="{00000000-0011-0000-FFFF-FFFF02000000}">
      <tableStyleElement type="wholeTable" size="0" dxfId="24"/>
      <tableStyleElement type="headerRow" dxfId="28"/>
      <tableStyleElement type="totalRow" dxfId="25"/>
      <tableStyleElement type="firstRowStripe" dxfId="27"/>
      <tableStyleElement type="secondRowStripe" dxfId="26"/>
    </tableStyle>
    <tableStyle name="Form Responses 1-style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Problemlər-style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Uşaqlarla oyun-style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9-style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Ailə-style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Yaşlar-style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991-438A-9BC2-7124231090A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991-438A-9BC2-7124231090A0}"/>
              </c:ext>
            </c:extLst>
          </c:dPt>
          <c:cat>
            <c:strRef>
              <c:f>Ailə!$C$2:$C$3</c:f>
              <c:strCache>
                <c:ptCount val="2"/>
                <c:pt idx="0">
                  <c:v>Bəli</c:v>
                </c:pt>
                <c:pt idx="1">
                  <c:v>Xeyr</c:v>
                </c:pt>
              </c:strCache>
            </c:strRef>
          </c:cat>
          <c:val>
            <c:numRef>
              <c:f>Ailə!$D$2:$D$3</c:f>
              <c:numCache>
                <c:formatCode>General</c:formatCode>
                <c:ptCount val="2"/>
                <c:pt idx="0">
                  <c:v>26.5</c:v>
                </c:pt>
                <c:pt idx="1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91-438A-9BC2-71242310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az-Latn-AZ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466725</xdr:colOff>
      <xdr:row>0</xdr:row>
      <xdr:rowOff>333375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Form_Responses1" displayName="Form_Responses1" ref="A1:AW53">
  <tableColumns count="49">
    <tableColumn id="1" xr3:uid="{00000000-0010-0000-0000-000001000000}" name="Timestamp"/>
    <tableColumn id="2" xr3:uid="{00000000-0010-0000-0000-000002000000}" name="Turan Tovuz PFK-nın oyunlarını  hansı tezlikdə izləyirsiniz?"/>
    <tableColumn id="3" xr3:uid="{00000000-0010-0000-0000-000003000000}" name="Hansı səbəbdən oyunları tez tez izləmirsiniz?"/>
    <tableColumn id="4" xr3:uid="{00000000-0010-0000-0000-000004000000}" name="Oyunları əsasən necə izləyirsiniz?"/>
    <tableColumn id="5" xr3:uid="{00000000-0010-0000-0000-000005000000}" name="Oyunları hansı səbəbdən stadionda izləmirsiniz?"/>
    <tableColumn id="6" xr3:uid="{00000000-0010-0000-0000-000006000000}" name="Oyun barədə məlumatı haradan əldə etmisiniz?"/>
    <tableColumn id="7" xr3:uid="{00000000-0010-0000-0000-000007000000}" name="Bileti haradan almısınız?"/>
    <tableColumn id="8" xr3:uid="{00000000-0010-0000-0000-000008000000}" name="Stadiona getmək üçün hansı vasitədən istifadə etmisiniz?"/>
    <tableColumn id="9" xr3:uid="{00000000-0010-0000-0000-000009000000}" name="Stadionda son izlədiyiniz oyunu sizinlə neçə nəfər gəlib?"/>
    <tableColumn id="10" xr3:uid="{00000000-0010-0000-0000-00000A000000}" name="Stadionda son izlədiyiniz oyunu sizinlə gələnlərin arasında uşaq var idi?_x000a_bir neçə uşaq gəlmişdirsə, sayı &quot;digər&quot; bölməsində qeyd edə bilərsiniz"/>
    <tableColumn id="11" xr3:uid="{00000000-0010-0000-0000-00000B000000}" name="Sizcə, oyuna ailənizlə gəlmək üçün şərait uyğundurmu?"/>
    <tableColumn id="12" xr3:uid="{00000000-0010-0000-0000-00000C000000}" name="Xahiş edirik stadiona gedərkən üzləşdiyiniz problemləri qeyd edin: "/>
    <tableColumn id="13" xr3:uid="{00000000-0010-0000-0000-00000D000000}" name="Xahiş edirik stadionda üzləşdiyiniz problemləri qeyd edin:"/>
    <tableColumn id="14" xr3:uid="{00000000-0010-0000-0000-00000E000000}" name="Xahiş edirik stadiondan çıxarkən üzləşdiyiniz problemləri qeyd edin: "/>
    <tableColumn id="15" xr3:uid="{00000000-0010-0000-0000-00000F000000}" name="Stadion ərazisində satışda olan qida və içkilər almısınızmı?"/>
    <tableColumn id="16" xr3:uid="{00000000-0010-0000-0000-000010000000}" name="Oyun zamanı satışda olan qida və içkilərə ortalama nə qədər pul xərcləmisiniz?_x000a_məbləğ(AZN)"/>
    <tableColumn id="17" xr3:uid="{00000000-0010-0000-0000-000011000000}" name="Satış məntəqələrinin əlçatan olması"/>
    <tableColumn id="18" xr3:uid="{00000000-0010-0000-0000-000012000000}" name="Qida və içkilərin çeşidləri"/>
    <tableColumn id="19" xr3:uid="{00000000-0010-0000-0000-000013000000}" name="Qida və içkilərin keyfiyyəti "/>
    <tableColumn id="20" xr3:uid="{00000000-0010-0000-0000-000014000000}" name="Qida və içkilərin qiyməti"/>
    <tableColumn id="21" xr3:uid="{00000000-0010-0000-0000-000015000000}" name="Stadion ərazisindəki fanşopdan klubun məhsullarını almısınızmı?"/>
    <tableColumn id="22" xr3:uid="{00000000-0010-0000-0000-000016000000}" name="Oyun zamanı satışda olan klubun məhsullarına nə qədər pul xərcləmisiniz?"/>
    <tableColumn id="23" xr3:uid="{00000000-0010-0000-0000-000017000000}" name="Satış məntəqələrinin əlçatan olması 2"/>
    <tableColumn id="24" xr3:uid="{00000000-0010-0000-0000-000018000000}" name="Məhsulların çeşidləri"/>
    <tableColumn id="25" xr3:uid="{00000000-0010-0000-0000-000019000000}" name="Məhsulların keyfiyyəti "/>
    <tableColumn id="26" xr3:uid="{00000000-0010-0000-0000-00001A000000}" name="Bilet alma prosesini necə qiymətləndirirsiniz?"/>
    <tableColumn id="27" xr3:uid="{00000000-0010-0000-0000-00001B000000}" name="Bilet yoxlayan əməkdaşların işini necə qiymətləndirirsiniz?"/>
    <tableColumn id="28" xr3:uid="{00000000-0010-0000-0000-00001C000000}" name="Təhlükəsizlik xidmətinin işini necə qiymətləndirirsiniz?"/>
    <tableColumn id="29" xr3:uid="{00000000-0010-0000-0000-00001D000000}" name="Könüllülərin işini necə qiymətləndirirsiniz? (istiqamətin göstərilməsi, sualların cavablandırılması və s.)"/>
    <tableColumn id="30" xr3:uid="{00000000-0010-0000-0000-00001E000000}" name="Tribunaların təmizliyini necə qiymətləndirirsiniz?"/>
    <tableColumn id="31" xr3:uid="{00000000-0010-0000-0000-00001F000000}" name="Tualetlərin təmizliyini necə qiymətləndirirsiniz?"/>
    <tableColumn id="32" xr3:uid="{00000000-0010-0000-0000-000020000000}" name="Stadionda olan ab-havanı necə qiymətləndirirsiniz?"/>
    <tableColumn id="33" xr3:uid="{00000000-0010-0000-0000-000021000000}" name="Ümumi oyunun təşkilini necə qiymətləndirirsiniz?"/>
    <tableColumn id="34" xr3:uid="{00000000-0010-0000-0000-000022000000}" name="Klubun faəliyyətini necə dəyərləndirirsiniz?"/>
    <tableColumn id="35" xr3:uid="{00000000-0010-0000-0000-000023000000}" name="Sponsorun dəstəyini necə dəyərləndirirsiniz?"/>
    <tableColumn id="36" xr3:uid="{00000000-0010-0000-0000-000024000000}" name="Stadionda neçə sponsor reklamı gördünüz?"/>
    <tableColumn id="37" xr3:uid="{00000000-0010-0000-0000-000025000000}" name="Bunlar hansılardır? "/>
    <tableColumn id="38" xr3:uid="{00000000-0010-0000-0000-000026000000}" name="Son oyundakı təcrübənizə əsasən, Turan Tovuz PFK-nın növbəti oyunlarını stadionda izləmək istəyərdiniz?"/>
    <tableColumn id="39" xr3:uid="{00000000-0010-0000-0000-000027000000}" name="Son oyundakı təcrübənizə əsasən, dostlarınıza Turan Tovuz PFK-nın oyunlarını stadionda izləməyi tövsiyə edərsiniz?"/>
    <tableColumn id="40" xr3:uid="{00000000-0010-0000-0000-000028000000}" name="Ad, soyad"/>
    <tableColumn id="41" xr3:uid="{00000000-0010-0000-0000-000029000000}" name="Cins"/>
    <tableColumn id="42" xr3:uid="{00000000-0010-0000-0000-00002A000000}" name="Yaşınız_x000a_"/>
    <tableColumn id="43" xr3:uid="{00000000-0010-0000-0000-00002B000000}" name="Məşğuliyyət"/>
    <tableColumn id="44" xr3:uid="{00000000-0010-0000-0000-00002C000000}" name="Ailə vəziyyəti"/>
    <tableColumn id="45" xr3:uid="{00000000-0010-0000-0000-00002D000000}" name="Turan Tovuz PFK-nın fəaliyyəti ilə bağlı məlumat almaq istəyirsinizmi?"/>
    <tableColumn id="46" xr3:uid="{00000000-0010-0000-0000-00002E000000}" name="Qeydlər"/>
    <tableColumn id="47" xr3:uid="{00000000-0010-0000-0000-00002F000000}" name="Harada yaşayırsınız, oyunu izləməyə haradan gəlmisiniz?_x000a_rayon/kəndin adını qeyd edin"/>
    <tableColumn id="48" xr3:uid="{00000000-0010-0000-0000-000030000000}" name="Məhsulların qiyməti"/>
    <tableColumn id="49" xr3:uid="{00000000-0010-0000-0000-000031000000}" name="Column 46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6" displayName="Table6" ref="A1:A53">
  <tableColumns count="1">
    <tableColumn id="1" xr3:uid="{00000000-0010-0000-0200-000001000000}" name="Oyun zamanı satışda olan qida və içkilərə ortalama nə qədər pul xərcləmisiniz?_x000a_məbləğ(AZN)"/>
  </tableColumns>
  <tableStyleInfo name="Fanfud xər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7" displayName="Table7" ref="A1:A9">
  <tableColumns count="1">
    <tableColumn id="1" xr3:uid="{00000000-0010-0000-0300-000001000000}" name="Oyun zamanı satışda olan klubun məhsullarına nə qədər pul xərcləmisiniz?"/>
  </tableColumns>
  <tableStyleInfo name="Fanşop xər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F53">
  <tableColumns count="6">
    <tableColumn id="1" xr3:uid="{00000000-0010-0000-0400-000001000000}" name="Xahiş edirik stadiona gedərkən üzləşdiyiniz problemləri qeyd edin: "/>
    <tableColumn id="2" xr3:uid="{00000000-0010-0000-0400-000002000000}" name="Calc1"/>
    <tableColumn id="3" xr3:uid="{00000000-0010-0000-0400-000003000000}" name="Xahiş edirik stadionda üzləşdiyiniz problemləri qeyd edin:"/>
    <tableColumn id="4" xr3:uid="{00000000-0010-0000-0400-000004000000}" name="Calc2"/>
    <tableColumn id="5" xr3:uid="{00000000-0010-0000-0400-000005000000}" name="Xahiş edirik stadiondan çıxarkən üzləşdiyiniz problemləri qeyd edin: "/>
    <tableColumn id="6" xr3:uid="{00000000-0010-0000-0400-000006000000}" name="Calc3"/>
  </tableColumns>
  <tableStyleInfo name="Problemlə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1:A54">
  <tableColumns count="1">
    <tableColumn id="1" xr3:uid="{00000000-0010-0000-0500-000001000000}" name="Stadionda son izlədiyiniz oyunu sizinlə gələnlərin arasında uşaq var idi?_x000a_bir neçə uşaq gəlmişdirsə, sayı &quot;digər&quot; bölməsində qeyd edə bilərsiniz"/>
  </tableColumns>
  <tableStyleInfo name="Uşaqlarla oyu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" displayName="Table3" ref="A1:B54">
  <tableColumns count="2">
    <tableColumn id="1" xr3:uid="{00000000-0010-0000-0600-000001000000}" name="Stadionda son izlədiyiniz oyunu sizinlə neçə nəfər gəlib?"/>
    <tableColumn id="2" xr3:uid="{00000000-0010-0000-0600-000002000000}" name="Column 1"/>
  </tableColumns>
  <tableStyleInfo name="Sheet9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" displayName="Table2" ref="A1:A53">
  <tableColumns count="1">
    <tableColumn id="1" xr3:uid="{00000000-0010-0000-0700-000001000000}" name="Sizcə, oyuna ailənizlə gəlmək üçün şərait uyğundurmu?"/>
  </tableColumns>
  <tableStyleInfo name="Ailə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53"/>
  <sheetViews>
    <sheetView tabSelected="1" topLeftCell="AN1" workbookViewId="0">
      <pane ySplit="1" topLeftCell="A51" activePane="bottomLeft" state="frozen"/>
      <selection pane="bottomLeft" activeCell="I26" sqref="I26"/>
    </sheetView>
  </sheetViews>
  <sheetFormatPr defaultColWidth="12.5703125" defaultRowHeight="15.75" customHeight="1" x14ac:dyDescent="0.2"/>
  <cols>
    <col min="1" max="1" width="17" customWidth="1"/>
    <col min="2" max="2" width="29.42578125" customWidth="1"/>
    <col min="3" max="3" width="20.140625" customWidth="1"/>
    <col min="4" max="4" width="19" customWidth="1"/>
    <col min="5" max="5" width="23.140625" customWidth="1"/>
    <col min="6" max="6" width="28.140625" customWidth="1"/>
    <col min="7" max="7" width="22.85546875" customWidth="1"/>
    <col min="8" max="8" width="18.5703125" customWidth="1"/>
    <col min="9" max="9" width="15" customWidth="1"/>
    <col min="10" max="10" width="25.42578125" customWidth="1"/>
    <col min="11" max="11" width="27.42578125" customWidth="1"/>
    <col min="12" max="14" width="37.5703125" customWidth="1"/>
    <col min="15" max="15" width="23.42578125" customWidth="1"/>
    <col min="16" max="16" width="21.140625" customWidth="1"/>
    <col min="17" max="17" width="16.42578125" customWidth="1"/>
    <col min="18" max="18" width="15" customWidth="1"/>
    <col min="19" max="19" width="13.28515625" customWidth="1"/>
    <col min="20" max="20" width="13.42578125" customWidth="1"/>
    <col min="21" max="21" width="25.28515625" customWidth="1"/>
    <col min="22" max="22" width="22.5703125" customWidth="1"/>
    <col min="23" max="23" width="15.42578125" customWidth="1"/>
    <col min="24" max="24" width="14.7109375" customWidth="1"/>
    <col min="25" max="25" width="12.42578125" customWidth="1"/>
    <col min="26" max="26" width="24.140625" customWidth="1"/>
    <col min="27" max="27" width="25.7109375" customWidth="1"/>
    <col min="28" max="28" width="23.42578125" customWidth="1"/>
    <col min="29" max="29" width="23.85546875" customWidth="1"/>
    <col min="30" max="30" width="17.5703125" customWidth="1"/>
    <col min="31" max="31" width="24" customWidth="1"/>
    <col min="32" max="32" width="21.42578125" customWidth="1"/>
    <col min="33" max="33" width="19.7109375" customWidth="1"/>
    <col min="34" max="34" width="24.85546875" customWidth="1"/>
    <col min="35" max="35" width="25.85546875" customWidth="1"/>
    <col min="36" max="36" width="22.7109375" customWidth="1"/>
    <col min="37" max="37" width="17.140625" customWidth="1"/>
    <col min="38" max="38" width="22.85546875" customWidth="1"/>
    <col min="39" max="39" width="24.28515625" customWidth="1"/>
    <col min="40" max="40" width="18.85546875" customWidth="1"/>
    <col min="41" max="41" width="14.28515625" customWidth="1"/>
    <col min="42" max="42" width="12.140625" customWidth="1"/>
    <col min="43" max="44" width="18.85546875" customWidth="1"/>
    <col min="45" max="45" width="23.42578125" customWidth="1"/>
    <col min="46" max="46" width="15.85546875" customWidth="1"/>
    <col min="47" max="47" width="16.28515625" customWidth="1"/>
    <col min="48" max="48" width="13.7109375" customWidth="1"/>
    <col min="49" max="55" width="18.85546875" customWidth="1"/>
  </cols>
  <sheetData>
    <row r="1" spans="1:55" ht="74.25" customHeight="1" x14ac:dyDescent="0.2">
      <c r="A1" s="1" t="s">
        <v>8</v>
      </c>
      <c r="B1" s="1" t="s">
        <v>10</v>
      </c>
      <c r="C1" s="1" t="s">
        <v>12</v>
      </c>
      <c r="D1" s="8" t="s">
        <v>15</v>
      </c>
      <c r="E1" s="1" t="s">
        <v>18</v>
      </c>
      <c r="F1" s="1" t="s">
        <v>19</v>
      </c>
      <c r="G1" s="1" t="s">
        <v>21</v>
      </c>
      <c r="H1" s="1" t="s">
        <v>22</v>
      </c>
      <c r="I1" s="8" t="s">
        <v>23</v>
      </c>
      <c r="J1" s="1" t="s">
        <v>25</v>
      </c>
      <c r="K1" s="1" t="s">
        <v>27</v>
      </c>
      <c r="L1" s="1" t="s">
        <v>29</v>
      </c>
      <c r="M1" s="1" t="s">
        <v>30</v>
      </c>
      <c r="N1" s="1" t="s">
        <v>32</v>
      </c>
      <c r="O1" s="1" t="s">
        <v>33</v>
      </c>
      <c r="P1" s="1" t="s">
        <v>1</v>
      </c>
      <c r="Q1" s="1" t="s">
        <v>35</v>
      </c>
      <c r="R1" s="1" t="s">
        <v>37</v>
      </c>
      <c r="S1" s="8" t="s">
        <v>39</v>
      </c>
      <c r="T1" s="1" t="s">
        <v>42</v>
      </c>
      <c r="U1" s="1" t="s">
        <v>43</v>
      </c>
      <c r="V1" s="1" t="s">
        <v>0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4</v>
      </c>
      <c r="AK1" s="1" t="s">
        <v>5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65</v>
      </c>
      <c r="AQ1" s="1" t="s">
        <v>67</v>
      </c>
      <c r="AR1" s="1" t="s">
        <v>69</v>
      </c>
      <c r="AS1" s="1" t="s">
        <v>70</v>
      </c>
      <c r="AT1" s="12" t="s">
        <v>72</v>
      </c>
      <c r="AU1" s="12" t="s">
        <v>74</v>
      </c>
      <c r="AV1" s="12" t="s">
        <v>77</v>
      </c>
      <c r="AW1" s="12" t="s">
        <v>79</v>
      </c>
      <c r="AX1" s="14"/>
      <c r="AY1" s="14"/>
      <c r="AZ1" s="14"/>
      <c r="BA1" s="14"/>
      <c r="BB1" s="14"/>
      <c r="BC1" s="14"/>
    </row>
    <row r="2" spans="1:55" ht="22.5" customHeight="1" x14ac:dyDescent="0.2">
      <c r="A2" s="16">
        <v>45735.657741851857</v>
      </c>
      <c r="B2" s="5" t="s">
        <v>83</v>
      </c>
      <c r="D2" s="5" t="s">
        <v>86</v>
      </c>
      <c r="F2" s="5" t="s">
        <v>89</v>
      </c>
      <c r="G2" s="5" t="s">
        <v>90</v>
      </c>
      <c r="H2" s="5" t="s">
        <v>91</v>
      </c>
      <c r="I2" s="5">
        <v>2</v>
      </c>
      <c r="J2" s="5" t="s">
        <v>82</v>
      </c>
      <c r="K2" s="5" t="s">
        <v>80</v>
      </c>
      <c r="L2" s="5" t="s">
        <v>94</v>
      </c>
      <c r="M2" s="5" t="s">
        <v>75</v>
      </c>
      <c r="N2" s="5" t="s">
        <v>75</v>
      </c>
      <c r="O2" s="5" t="s">
        <v>80</v>
      </c>
      <c r="P2" s="5">
        <v>1</v>
      </c>
      <c r="Q2" s="5">
        <v>10</v>
      </c>
      <c r="R2" s="5">
        <v>5</v>
      </c>
      <c r="S2" s="5">
        <v>5</v>
      </c>
      <c r="T2" s="5">
        <v>5</v>
      </c>
      <c r="U2" s="5" t="s">
        <v>82</v>
      </c>
      <c r="Z2" s="5">
        <v>10</v>
      </c>
      <c r="AA2" s="5">
        <v>7</v>
      </c>
      <c r="AB2" s="5">
        <v>10</v>
      </c>
      <c r="AC2" s="5">
        <v>9</v>
      </c>
      <c r="AD2" s="5">
        <v>10</v>
      </c>
      <c r="AE2" s="5">
        <v>10</v>
      </c>
      <c r="AF2" s="5">
        <v>10</v>
      </c>
      <c r="AG2" s="5">
        <v>6</v>
      </c>
      <c r="AH2" s="5">
        <v>10</v>
      </c>
      <c r="AI2" s="5">
        <v>10</v>
      </c>
      <c r="AJ2" s="5">
        <v>1</v>
      </c>
      <c r="AK2" s="5" t="s">
        <v>9</v>
      </c>
      <c r="AL2" s="5" t="s">
        <v>80</v>
      </c>
      <c r="AM2" s="5" t="s">
        <v>80</v>
      </c>
      <c r="AN2" s="5" t="s">
        <v>103</v>
      </c>
      <c r="AO2" s="5" t="s">
        <v>104</v>
      </c>
      <c r="AP2" s="5">
        <v>37</v>
      </c>
      <c r="AQ2" s="5" t="s">
        <v>106</v>
      </c>
      <c r="AR2" s="5" t="s">
        <v>107</v>
      </c>
      <c r="AS2" s="5" t="s">
        <v>80</v>
      </c>
      <c r="AU2" s="5" t="s">
        <v>108</v>
      </c>
    </row>
    <row r="3" spans="1:55" ht="22.5" customHeight="1" x14ac:dyDescent="0.2">
      <c r="A3" s="16">
        <v>45734.539597037037</v>
      </c>
      <c r="B3" s="5" t="s">
        <v>83</v>
      </c>
      <c r="D3" s="5" t="s">
        <v>86</v>
      </c>
      <c r="F3" s="5" t="s">
        <v>112</v>
      </c>
      <c r="G3" s="5" t="s">
        <v>90</v>
      </c>
      <c r="H3" s="5" t="s">
        <v>91</v>
      </c>
      <c r="I3" s="5">
        <v>12</v>
      </c>
      <c r="J3" s="5" t="s">
        <v>82</v>
      </c>
      <c r="K3" s="5" t="s">
        <v>80</v>
      </c>
      <c r="L3" s="5" t="s">
        <v>75</v>
      </c>
      <c r="M3" s="5" t="s">
        <v>75</v>
      </c>
      <c r="N3" s="5" t="s">
        <v>75</v>
      </c>
      <c r="O3" s="5" t="s">
        <v>80</v>
      </c>
      <c r="P3" s="5">
        <v>1</v>
      </c>
      <c r="Q3" s="5">
        <v>10</v>
      </c>
      <c r="R3" s="5">
        <v>10</v>
      </c>
      <c r="S3" s="5">
        <v>10</v>
      </c>
      <c r="T3" s="5">
        <v>10</v>
      </c>
      <c r="U3" s="5" t="s">
        <v>82</v>
      </c>
      <c r="Z3" s="5">
        <v>10</v>
      </c>
      <c r="AA3" s="5">
        <v>10</v>
      </c>
      <c r="AB3" s="5">
        <v>10</v>
      </c>
      <c r="AC3" s="5">
        <v>10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3</v>
      </c>
      <c r="AK3" s="5" t="s">
        <v>36</v>
      </c>
      <c r="AL3" s="5" t="s">
        <v>80</v>
      </c>
      <c r="AM3" s="5" t="s">
        <v>80</v>
      </c>
      <c r="AN3" s="5" t="s">
        <v>118</v>
      </c>
      <c r="AO3" s="5" t="s">
        <v>104</v>
      </c>
      <c r="AP3" s="5">
        <v>42</v>
      </c>
      <c r="AQ3" s="5" t="s">
        <v>119</v>
      </c>
      <c r="AR3" s="5" t="s">
        <v>107</v>
      </c>
      <c r="AS3" s="5" t="s">
        <v>80</v>
      </c>
    </row>
    <row r="4" spans="1:55" ht="22.5" customHeight="1" x14ac:dyDescent="0.2">
      <c r="A4" s="16">
        <v>45734.505311840279</v>
      </c>
      <c r="B4" s="5" t="s">
        <v>83</v>
      </c>
      <c r="D4" s="5" t="s">
        <v>86</v>
      </c>
      <c r="F4" s="5" t="s">
        <v>121</v>
      </c>
      <c r="G4" s="5" t="s">
        <v>122</v>
      </c>
      <c r="H4" s="5" t="s">
        <v>123</v>
      </c>
      <c r="I4" s="5">
        <v>1</v>
      </c>
      <c r="J4" s="5" t="s">
        <v>80</v>
      </c>
      <c r="K4" s="5" t="s">
        <v>80</v>
      </c>
      <c r="L4" s="5" t="s">
        <v>97</v>
      </c>
      <c r="M4" s="5" t="s">
        <v>98</v>
      </c>
      <c r="N4" s="5" t="s">
        <v>100</v>
      </c>
      <c r="O4" s="5" t="s">
        <v>80</v>
      </c>
      <c r="P4" s="5">
        <v>1</v>
      </c>
      <c r="Q4" s="5">
        <v>8</v>
      </c>
      <c r="R4" s="5">
        <v>5</v>
      </c>
      <c r="S4" s="5">
        <v>7</v>
      </c>
      <c r="T4" s="5">
        <v>5</v>
      </c>
      <c r="U4" s="5" t="s">
        <v>80</v>
      </c>
      <c r="V4" s="5">
        <v>10</v>
      </c>
      <c r="W4" s="5">
        <v>8</v>
      </c>
      <c r="X4" s="5">
        <v>5</v>
      </c>
      <c r="Y4" s="5">
        <v>8</v>
      </c>
      <c r="Z4" s="5">
        <v>10</v>
      </c>
      <c r="AA4" s="5">
        <v>10</v>
      </c>
      <c r="AB4" s="5">
        <v>10</v>
      </c>
      <c r="AC4" s="5">
        <v>10</v>
      </c>
      <c r="AD4" s="5">
        <v>10</v>
      </c>
      <c r="AE4" s="5">
        <v>5</v>
      </c>
      <c r="AF4" s="5">
        <v>10</v>
      </c>
      <c r="AG4" s="5">
        <v>10</v>
      </c>
      <c r="AH4" s="5">
        <v>8</v>
      </c>
      <c r="AI4" s="5">
        <v>10</v>
      </c>
      <c r="AJ4" s="5">
        <v>3</v>
      </c>
      <c r="AK4" s="5" t="s">
        <v>20</v>
      </c>
      <c r="AL4" s="5" t="s">
        <v>80</v>
      </c>
      <c r="AM4" s="5" t="s">
        <v>80</v>
      </c>
      <c r="AN4" s="5" t="s">
        <v>129</v>
      </c>
      <c r="AO4" s="5" t="s">
        <v>130</v>
      </c>
      <c r="AP4" s="5">
        <v>33</v>
      </c>
      <c r="AQ4" s="5" t="s">
        <v>119</v>
      </c>
      <c r="AR4" s="5" t="s">
        <v>107</v>
      </c>
      <c r="AS4" s="5" t="s">
        <v>82</v>
      </c>
      <c r="AT4" s="5" t="s">
        <v>133</v>
      </c>
      <c r="AU4" s="18"/>
      <c r="AV4" s="18"/>
      <c r="AW4" s="18"/>
    </row>
    <row r="5" spans="1:55" ht="22.5" customHeight="1" x14ac:dyDescent="0.2">
      <c r="A5" s="16">
        <v>45735.587913564814</v>
      </c>
      <c r="B5" s="5" t="s">
        <v>83</v>
      </c>
      <c r="D5" s="5" t="s">
        <v>86</v>
      </c>
      <c r="F5" s="5" t="s">
        <v>89</v>
      </c>
      <c r="G5" s="5" t="s">
        <v>90</v>
      </c>
      <c r="H5" s="5" t="s">
        <v>135</v>
      </c>
      <c r="I5" s="5">
        <v>8</v>
      </c>
      <c r="J5" s="5" t="s">
        <v>80</v>
      </c>
      <c r="K5" s="5" t="s">
        <v>80</v>
      </c>
      <c r="L5" s="5" t="s">
        <v>75</v>
      </c>
      <c r="M5" s="5" t="s">
        <v>75</v>
      </c>
      <c r="N5" s="5" t="s">
        <v>75</v>
      </c>
      <c r="O5" s="5" t="s">
        <v>80</v>
      </c>
      <c r="P5" s="5">
        <v>2</v>
      </c>
      <c r="Q5" s="5">
        <v>1</v>
      </c>
      <c r="R5" s="5">
        <v>8</v>
      </c>
      <c r="S5" s="5">
        <v>10</v>
      </c>
      <c r="T5" s="5">
        <v>3</v>
      </c>
      <c r="U5" s="5" t="s">
        <v>80</v>
      </c>
      <c r="V5" s="5">
        <v>2</v>
      </c>
      <c r="W5" s="5">
        <v>10</v>
      </c>
      <c r="X5" s="5">
        <v>10</v>
      </c>
      <c r="Y5" s="5">
        <v>10</v>
      </c>
      <c r="Z5" s="5">
        <v>10</v>
      </c>
      <c r="AA5" s="5">
        <v>10</v>
      </c>
      <c r="AB5" s="5">
        <v>10</v>
      </c>
      <c r="AC5" s="5">
        <v>10</v>
      </c>
      <c r="AD5" s="5">
        <v>10</v>
      </c>
      <c r="AE5" s="5">
        <v>10</v>
      </c>
      <c r="AF5" s="5">
        <v>10</v>
      </c>
      <c r="AG5" s="5">
        <v>10</v>
      </c>
      <c r="AH5" s="5">
        <v>10</v>
      </c>
      <c r="AI5" s="5">
        <v>10</v>
      </c>
      <c r="AJ5" s="5">
        <v>1</v>
      </c>
      <c r="AK5" s="5" t="s">
        <v>92</v>
      </c>
      <c r="AL5" s="5" t="s">
        <v>80</v>
      </c>
      <c r="AM5" s="5" t="s">
        <v>80</v>
      </c>
      <c r="AN5" s="5" t="s">
        <v>142</v>
      </c>
      <c r="AO5" s="5" t="s">
        <v>104</v>
      </c>
      <c r="AP5" s="5">
        <v>34</v>
      </c>
      <c r="AQ5" s="5" t="s">
        <v>145</v>
      </c>
      <c r="AR5" s="5" t="s">
        <v>107</v>
      </c>
      <c r="AS5" s="5" t="s">
        <v>80</v>
      </c>
      <c r="AT5" s="5" t="s">
        <v>147</v>
      </c>
      <c r="AU5" s="5" t="s">
        <v>148</v>
      </c>
      <c r="AV5" s="5">
        <v>10</v>
      </c>
    </row>
    <row r="6" spans="1:55" ht="22.5" customHeight="1" x14ac:dyDescent="0.2">
      <c r="A6" s="20">
        <v>45733.864262708332</v>
      </c>
      <c r="B6" s="2" t="s">
        <v>83</v>
      </c>
      <c r="C6" s="6"/>
      <c r="D6" s="2" t="s">
        <v>86</v>
      </c>
      <c r="E6" s="6"/>
      <c r="F6" s="2" t="s">
        <v>89</v>
      </c>
      <c r="G6" s="2" t="s">
        <v>152</v>
      </c>
      <c r="H6" s="2" t="s">
        <v>154</v>
      </c>
      <c r="I6" s="2">
        <v>1</v>
      </c>
      <c r="J6" s="2" t="s">
        <v>80</v>
      </c>
      <c r="K6" s="2" t="s">
        <v>80</v>
      </c>
      <c r="L6" s="2" t="s">
        <v>75</v>
      </c>
      <c r="M6" s="2" t="s">
        <v>96</v>
      </c>
      <c r="N6" s="2" t="s">
        <v>75</v>
      </c>
      <c r="O6" s="2" t="s">
        <v>80</v>
      </c>
      <c r="P6" s="2">
        <v>2</v>
      </c>
      <c r="Q6" s="2">
        <v>10</v>
      </c>
      <c r="R6" s="2">
        <v>10</v>
      </c>
      <c r="S6" s="2">
        <v>10</v>
      </c>
      <c r="T6" s="2">
        <v>3</v>
      </c>
      <c r="U6" s="2" t="s">
        <v>80</v>
      </c>
      <c r="V6" s="2">
        <v>5</v>
      </c>
      <c r="W6" s="2">
        <v>10</v>
      </c>
      <c r="X6" s="2">
        <v>10</v>
      </c>
      <c r="Y6" s="2">
        <v>10</v>
      </c>
      <c r="Z6" s="2">
        <v>10</v>
      </c>
      <c r="AA6" s="2">
        <v>10</v>
      </c>
      <c r="AB6" s="2">
        <v>8</v>
      </c>
      <c r="AC6" s="2">
        <v>8</v>
      </c>
      <c r="AD6" s="2">
        <v>10</v>
      </c>
      <c r="AE6" s="2">
        <v>9</v>
      </c>
      <c r="AF6" s="2">
        <v>10</v>
      </c>
      <c r="AG6" s="2">
        <v>10</v>
      </c>
      <c r="AH6" s="2">
        <v>9</v>
      </c>
      <c r="AI6" s="2">
        <v>10</v>
      </c>
      <c r="AJ6" s="2" t="s">
        <v>17</v>
      </c>
      <c r="AK6" s="2">
        <v>2</v>
      </c>
      <c r="AL6" s="2" t="s">
        <v>80</v>
      </c>
      <c r="AM6" s="2" t="s">
        <v>80</v>
      </c>
      <c r="AN6" s="2" t="s">
        <v>156</v>
      </c>
      <c r="AO6" s="2" t="s">
        <v>104</v>
      </c>
      <c r="AP6" s="2">
        <v>45</v>
      </c>
      <c r="AQ6" s="2" t="s">
        <v>106</v>
      </c>
      <c r="AR6" s="2" t="s">
        <v>107</v>
      </c>
      <c r="AS6" s="2" t="s">
        <v>80</v>
      </c>
      <c r="AT6" s="15"/>
      <c r="AU6" s="15"/>
      <c r="AV6" s="15"/>
      <c r="AW6" s="15"/>
    </row>
    <row r="7" spans="1:55" ht="22.5" customHeight="1" x14ac:dyDescent="0.2">
      <c r="A7" s="16">
        <v>45734.53258230324</v>
      </c>
      <c r="B7" s="5" t="s">
        <v>83</v>
      </c>
      <c r="D7" s="5" t="s">
        <v>86</v>
      </c>
      <c r="F7" s="5" t="s">
        <v>89</v>
      </c>
      <c r="G7" s="5" t="s">
        <v>158</v>
      </c>
      <c r="H7" s="5" t="s">
        <v>123</v>
      </c>
      <c r="I7" s="5">
        <v>6</v>
      </c>
      <c r="J7" s="5" t="s">
        <v>80</v>
      </c>
      <c r="K7" s="5" t="s">
        <v>159</v>
      </c>
      <c r="L7" s="5" t="s">
        <v>75</v>
      </c>
      <c r="M7" s="5" t="s">
        <v>113</v>
      </c>
      <c r="N7" s="5" t="s">
        <v>114</v>
      </c>
      <c r="O7" s="5" t="s">
        <v>80</v>
      </c>
      <c r="P7" s="5">
        <v>2</v>
      </c>
      <c r="Q7" s="5">
        <v>10</v>
      </c>
      <c r="R7" s="5">
        <v>10</v>
      </c>
      <c r="S7" s="5">
        <v>9</v>
      </c>
      <c r="T7" s="5">
        <v>9</v>
      </c>
      <c r="U7" s="5" t="s">
        <v>82</v>
      </c>
      <c r="Z7" s="5">
        <v>10</v>
      </c>
      <c r="AA7" s="5">
        <v>8</v>
      </c>
      <c r="AB7" s="5">
        <v>8</v>
      </c>
      <c r="AC7" s="5">
        <v>10</v>
      </c>
      <c r="AD7" s="5">
        <v>6</v>
      </c>
      <c r="AE7" s="5">
        <v>5</v>
      </c>
      <c r="AF7" s="5">
        <v>10</v>
      </c>
      <c r="AG7" s="5">
        <v>7</v>
      </c>
      <c r="AH7" s="5">
        <v>6</v>
      </c>
      <c r="AI7" s="5">
        <v>10</v>
      </c>
      <c r="AJ7" s="5">
        <v>1</v>
      </c>
      <c r="AK7" s="5" t="s">
        <v>9</v>
      </c>
      <c r="AL7" s="5" t="s">
        <v>80</v>
      </c>
      <c r="AM7" s="5" t="s">
        <v>80</v>
      </c>
      <c r="AN7" s="5" t="s">
        <v>169</v>
      </c>
      <c r="AO7" s="5" t="s">
        <v>104</v>
      </c>
      <c r="AP7" s="5">
        <v>33</v>
      </c>
      <c r="AQ7" s="5" t="s">
        <v>119</v>
      </c>
      <c r="AR7" s="5" t="s">
        <v>107</v>
      </c>
      <c r="AS7" s="5" t="s">
        <v>80</v>
      </c>
    </row>
    <row r="8" spans="1:55" ht="22.5" customHeight="1" x14ac:dyDescent="0.2">
      <c r="A8" s="16">
        <v>45734.621140613424</v>
      </c>
      <c r="B8" s="5" t="s">
        <v>83</v>
      </c>
      <c r="D8" s="5" t="s">
        <v>146</v>
      </c>
      <c r="E8" s="5" t="s">
        <v>170</v>
      </c>
      <c r="F8" s="5" t="s">
        <v>89</v>
      </c>
      <c r="G8" s="5" t="s">
        <v>90</v>
      </c>
      <c r="H8" s="5" t="s">
        <v>135</v>
      </c>
      <c r="I8" s="5">
        <v>4</v>
      </c>
      <c r="J8" s="5" t="s">
        <v>80</v>
      </c>
      <c r="K8" s="5" t="s">
        <v>80</v>
      </c>
      <c r="L8" s="5" t="s">
        <v>75</v>
      </c>
      <c r="M8" s="5" t="s">
        <v>134</v>
      </c>
      <c r="N8" s="5" t="s">
        <v>75</v>
      </c>
      <c r="O8" s="5" t="s">
        <v>80</v>
      </c>
      <c r="P8" s="5">
        <v>4</v>
      </c>
      <c r="Q8" s="5">
        <v>8</v>
      </c>
      <c r="R8" s="5">
        <v>6</v>
      </c>
      <c r="S8" s="5">
        <v>7</v>
      </c>
      <c r="T8" s="5">
        <v>4</v>
      </c>
      <c r="U8" s="5" t="s">
        <v>82</v>
      </c>
      <c r="Z8" s="5">
        <v>8</v>
      </c>
      <c r="AA8" s="5">
        <v>9</v>
      </c>
      <c r="AB8" s="5">
        <v>10</v>
      </c>
      <c r="AC8" s="5">
        <v>9</v>
      </c>
      <c r="AD8" s="5">
        <v>8</v>
      </c>
      <c r="AE8" s="5">
        <v>8</v>
      </c>
      <c r="AF8" s="5">
        <v>10</v>
      </c>
      <c r="AG8" s="5">
        <v>7</v>
      </c>
      <c r="AH8" s="5">
        <v>9</v>
      </c>
      <c r="AI8" s="5">
        <v>10</v>
      </c>
      <c r="AJ8" s="5">
        <v>1</v>
      </c>
      <c r="AK8" s="5" t="s">
        <v>9</v>
      </c>
      <c r="AL8" s="5" t="s">
        <v>80</v>
      </c>
      <c r="AM8" s="5" t="s">
        <v>80</v>
      </c>
      <c r="AN8" s="5" t="s">
        <v>171</v>
      </c>
      <c r="AO8" s="5" t="s">
        <v>104</v>
      </c>
      <c r="AP8" s="5">
        <v>37</v>
      </c>
      <c r="AQ8" s="5" t="s">
        <v>106</v>
      </c>
      <c r="AR8" s="5" t="s">
        <v>107</v>
      </c>
      <c r="AS8" s="5" t="s">
        <v>80</v>
      </c>
      <c r="AT8" s="5" t="s">
        <v>172</v>
      </c>
      <c r="AU8" s="5" t="s">
        <v>173</v>
      </c>
      <c r="AV8" s="18"/>
    </row>
    <row r="9" spans="1:55" ht="22.5" customHeight="1" x14ac:dyDescent="0.2">
      <c r="A9" s="16">
        <v>45734.574056759258</v>
      </c>
      <c r="B9" s="5" t="s">
        <v>83</v>
      </c>
      <c r="D9" s="5" t="s">
        <v>86</v>
      </c>
      <c r="F9" s="5" t="s">
        <v>89</v>
      </c>
      <c r="G9" s="5" t="s">
        <v>90</v>
      </c>
      <c r="H9" s="5" t="s">
        <v>154</v>
      </c>
      <c r="I9" s="5" t="s">
        <v>132</v>
      </c>
      <c r="J9" s="5" t="s">
        <v>82</v>
      </c>
      <c r="K9" s="5" t="s">
        <v>82</v>
      </c>
      <c r="L9" s="5" t="s">
        <v>75</v>
      </c>
      <c r="M9" s="5" t="s">
        <v>120</v>
      </c>
      <c r="N9" s="5" t="s">
        <v>75</v>
      </c>
      <c r="O9" s="5" t="s">
        <v>80</v>
      </c>
      <c r="P9" s="5">
        <v>5</v>
      </c>
      <c r="Q9" s="5">
        <v>10</v>
      </c>
      <c r="R9" s="5">
        <v>10</v>
      </c>
      <c r="S9" s="5">
        <v>8</v>
      </c>
      <c r="T9" s="5">
        <v>8</v>
      </c>
      <c r="U9" s="5" t="s">
        <v>82</v>
      </c>
      <c r="Z9" s="5">
        <v>10</v>
      </c>
      <c r="AA9" s="5">
        <v>10</v>
      </c>
      <c r="AB9" s="5">
        <v>10</v>
      </c>
      <c r="AC9" s="5">
        <v>10</v>
      </c>
      <c r="AD9" s="5">
        <v>10</v>
      </c>
      <c r="AE9" s="5">
        <v>6</v>
      </c>
      <c r="AF9" s="5">
        <v>10</v>
      </c>
      <c r="AG9" s="5">
        <v>7</v>
      </c>
      <c r="AH9" s="5">
        <v>8</v>
      </c>
      <c r="AI9" s="5">
        <v>10</v>
      </c>
      <c r="AJ9" s="5" t="s">
        <v>175</v>
      </c>
      <c r="AK9" s="5" t="s">
        <v>41</v>
      </c>
      <c r="AL9" s="5" t="s">
        <v>80</v>
      </c>
      <c r="AM9" s="5" t="s">
        <v>80</v>
      </c>
      <c r="AN9" s="5" t="s">
        <v>176</v>
      </c>
      <c r="AO9" s="5" t="s">
        <v>104</v>
      </c>
      <c r="AP9" s="5">
        <v>25</v>
      </c>
      <c r="AQ9" s="5" t="s">
        <v>106</v>
      </c>
      <c r="AR9" s="5" t="s">
        <v>174</v>
      </c>
      <c r="AS9" s="5" t="s">
        <v>80</v>
      </c>
      <c r="AU9" s="5" t="s">
        <v>177</v>
      </c>
      <c r="AV9" s="18"/>
    </row>
    <row r="10" spans="1:55" ht="22.5" customHeight="1" x14ac:dyDescent="0.2">
      <c r="A10" s="16">
        <v>45735.647733854166</v>
      </c>
      <c r="B10" s="5" t="s">
        <v>83</v>
      </c>
      <c r="D10" s="5" t="s">
        <v>86</v>
      </c>
      <c r="F10" s="5" t="s">
        <v>89</v>
      </c>
      <c r="G10" s="5" t="s">
        <v>122</v>
      </c>
      <c r="H10" s="5" t="s">
        <v>123</v>
      </c>
      <c r="I10" s="5">
        <v>0</v>
      </c>
      <c r="J10" s="5" t="s">
        <v>82</v>
      </c>
      <c r="K10" s="5" t="s">
        <v>80</v>
      </c>
      <c r="L10" s="5" t="s">
        <v>75</v>
      </c>
      <c r="M10" s="5" t="s">
        <v>75</v>
      </c>
      <c r="N10" s="5" t="s">
        <v>75</v>
      </c>
      <c r="O10" s="5" t="s">
        <v>80</v>
      </c>
      <c r="P10" s="5">
        <v>5</v>
      </c>
      <c r="Q10" s="5">
        <v>8</v>
      </c>
      <c r="R10" s="5">
        <v>5</v>
      </c>
      <c r="S10" s="5">
        <v>10</v>
      </c>
      <c r="T10" s="5">
        <v>5</v>
      </c>
      <c r="U10" s="5" t="s">
        <v>82</v>
      </c>
      <c r="Z10" s="5">
        <v>5</v>
      </c>
      <c r="AA10" s="5">
        <v>5</v>
      </c>
      <c r="AB10" s="5">
        <v>10</v>
      </c>
      <c r="AC10" s="5">
        <v>10</v>
      </c>
      <c r="AD10" s="5">
        <v>10</v>
      </c>
      <c r="AE10" s="5">
        <v>10</v>
      </c>
      <c r="AF10" s="5">
        <v>10</v>
      </c>
      <c r="AG10" s="5">
        <v>9</v>
      </c>
      <c r="AH10" s="5">
        <v>10</v>
      </c>
      <c r="AI10" s="5">
        <v>10</v>
      </c>
      <c r="AJ10" s="5">
        <v>1</v>
      </c>
      <c r="AK10" s="5" t="s">
        <v>54</v>
      </c>
      <c r="AL10" s="5" t="s">
        <v>80</v>
      </c>
      <c r="AM10" s="5" t="s">
        <v>80</v>
      </c>
      <c r="AN10" s="5" t="s">
        <v>178</v>
      </c>
      <c r="AO10" s="5" t="s">
        <v>104</v>
      </c>
      <c r="AP10" s="5">
        <v>30</v>
      </c>
      <c r="AQ10" s="5" t="s">
        <v>106</v>
      </c>
      <c r="AR10" s="5" t="s">
        <v>174</v>
      </c>
      <c r="AS10" s="5" t="s">
        <v>80</v>
      </c>
      <c r="AT10" s="5" t="s">
        <v>179</v>
      </c>
      <c r="AU10" s="5" t="s">
        <v>180</v>
      </c>
    </row>
    <row r="11" spans="1:55" ht="22.5" customHeight="1" x14ac:dyDescent="0.2">
      <c r="A11" s="20">
        <v>45733.835052222217</v>
      </c>
      <c r="B11" s="2" t="s">
        <v>83</v>
      </c>
      <c r="C11" s="6"/>
      <c r="D11" s="2" t="s">
        <v>86</v>
      </c>
      <c r="E11" s="6"/>
      <c r="F11" s="2" t="s">
        <v>89</v>
      </c>
      <c r="G11" s="2" t="s">
        <v>122</v>
      </c>
      <c r="H11" s="2" t="s">
        <v>91</v>
      </c>
      <c r="I11" s="2">
        <v>3</v>
      </c>
      <c r="J11" s="2" t="s">
        <v>80</v>
      </c>
      <c r="K11" s="2" t="s">
        <v>80</v>
      </c>
      <c r="L11" s="2" t="s">
        <v>75</v>
      </c>
      <c r="M11" s="2" t="s">
        <v>75</v>
      </c>
      <c r="N11" s="2" t="s">
        <v>85</v>
      </c>
      <c r="O11" s="2" t="s">
        <v>80</v>
      </c>
      <c r="P11" s="2">
        <v>5</v>
      </c>
      <c r="Q11" s="2">
        <v>9</v>
      </c>
      <c r="R11" s="2">
        <v>7</v>
      </c>
      <c r="S11" s="2">
        <v>9</v>
      </c>
      <c r="T11" s="2">
        <v>7</v>
      </c>
      <c r="U11" s="2" t="s">
        <v>82</v>
      </c>
      <c r="V11" s="6"/>
      <c r="W11" s="6"/>
      <c r="X11" s="6"/>
      <c r="Y11" s="6"/>
      <c r="Z11" s="2">
        <v>8</v>
      </c>
      <c r="AA11" s="2">
        <v>8</v>
      </c>
      <c r="AB11" s="2">
        <v>8</v>
      </c>
      <c r="AC11" s="2">
        <v>10</v>
      </c>
      <c r="AD11" s="2">
        <v>10</v>
      </c>
      <c r="AE11" s="2">
        <v>10</v>
      </c>
      <c r="AF11" s="2">
        <v>10</v>
      </c>
      <c r="AG11" s="2">
        <v>10</v>
      </c>
      <c r="AH11" s="2">
        <v>10</v>
      </c>
      <c r="AI11" s="2">
        <v>10</v>
      </c>
      <c r="AJ11" s="2">
        <v>1</v>
      </c>
      <c r="AK11" s="2" t="s">
        <v>9</v>
      </c>
      <c r="AL11" s="2" t="s">
        <v>80</v>
      </c>
      <c r="AM11" s="2" t="s">
        <v>80</v>
      </c>
      <c r="AN11" s="2" t="s">
        <v>188</v>
      </c>
      <c r="AO11" s="2" t="s">
        <v>130</v>
      </c>
      <c r="AP11" s="2">
        <v>19</v>
      </c>
      <c r="AQ11" s="2" t="s">
        <v>187</v>
      </c>
      <c r="AR11" s="2" t="s">
        <v>174</v>
      </c>
      <c r="AS11" s="2" t="s">
        <v>80</v>
      </c>
      <c r="AT11" s="15"/>
      <c r="AU11" s="15"/>
      <c r="AV11" s="15"/>
      <c r="AW11" s="15"/>
    </row>
    <row r="12" spans="1:55" ht="22.5" customHeight="1" x14ac:dyDescent="0.2">
      <c r="A12" s="16">
        <v>45734.587636875003</v>
      </c>
      <c r="B12" s="5" t="s">
        <v>83</v>
      </c>
      <c r="D12" s="5" t="s">
        <v>86</v>
      </c>
      <c r="F12" s="5" t="s">
        <v>89</v>
      </c>
      <c r="G12" s="5" t="s">
        <v>195</v>
      </c>
      <c r="H12" s="5" t="s">
        <v>123</v>
      </c>
      <c r="I12" s="5">
        <v>5</v>
      </c>
      <c r="J12" s="5" t="s">
        <v>82</v>
      </c>
      <c r="K12" s="5" t="s">
        <v>80</v>
      </c>
      <c r="L12" s="5" t="s">
        <v>125</v>
      </c>
      <c r="M12" s="5" t="s">
        <v>126</v>
      </c>
      <c r="N12" s="5" t="s">
        <v>75</v>
      </c>
      <c r="O12" s="5" t="s">
        <v>80</v>
      </c>
      <c r="P12" s="5">
        <v>6</v>
      </c>
      <c r="Q12" s="5">
        <v>9</v>
      </c>
      <c r="R12" s="5">
        <v>9</v>
      </c>
      <c r="S12" s="5">
        <v>10</v>
      </c>
      <c r="T12" s="5">
        <v>9</v>
      </c>
      <c r="U12" s="5" t="s">
        <v>82</v>
      </c>
      <c r="Z12" s="5">
        <v>10</v>
      </c>
      <c r="AA12" s="5">
        <v>10</v>
      </c>
      <c r="AB12" s="5">
        <v>10</v>
      </c>
      <c r="AC12" s="5">
        <v>10</v>
      </c>
      <c r="AD12" s="5">
        <v>8</v>
      </c>
      <c r="AE12" s="5">
        <v>6</v>
      </c>
      <c r="AF12" s="5">
        <v>10</v>
      </c>
      <c r="AG12" s="5">
        <v>8</v>
      </c>
      <c r="AH12" s="5">
        <v>10</v>
      </c>
      <c r="AI12" s="5">
        <v>8</v>
      </c>
      <c r="AJ12" s="5">
        <v>3</v>
      </c>
      <c r="AK12" s="5" t="s">
        <v>9</v>
      </c>
      <c r="AL12" s="5" t="s">
        <v>80</v>
      </c>
      <c r="AM12" s="5" t="s">
        <v>80</v>
      </c>
      <c r="AN12" s="5" t="s">
        <v>196</v>
      </c>
      <c r="AO12" s="5" t="s">
        <v>130</v>
      </c>
      <c r="AP12" s="5">
        <v>16</v>
      </c>
      <c r="AQ12" s="5" t="s">
        <v>185</v>
      </c>
      <c r="AR12" s="5" t="s">
        <v>174</v>
      </c>
      <c r="AS12" s="5" t="s">
        <v>80</v>
      </c>
      <c r="AU12" s="5" t="s">
        <v>197</v>
      </c>
      <c r="AV12" s="18"/>
    </row>
    <row r="13" spans="1:55" ht="22.5" customHeight="1" x14ac:dyDescent="0.2">
      <c r="A13" s="16">
        <v>45735.496946793981</v>
      </c>
      <c r="B13" s="5" t="s">
        <v>83</v>
      </c>
      <c r="D13" s="5" t="s">
        <v>86</v>
      </c>
      <c r="F13" s="5" t="s">
        <v>121</v>
      </c>
      <c r="G13" s="5" t="s">
        <v>90</v>
      </c>
      <c r="H13" s="5" t="s">
        <v>154</v>
      </c>
      <c r="I13" s="5">
        <v>4</v>
      </c>
      <c r="J13" s="5" t="s">
        <v>82</v>
      </c>
      <c r="K13" s="5" t="s">
        <v>193</v>
      </c>
      <c r="L13" s="5" t="s">
        <v>75</v>
      </c>
      <c r="M13" s="5" t="s">
        <v>105</v>
      </c>
      <c r="N13" s="5" t="s">
        <v>75</v>
      </c>
      <c r="O13" s="5" t="s">
        <v>80</v>
      </c>
      <c r="P13" s="5">
        <v>6</v>
      </c>
      <c r="Q13" s="5">
        <v>6</v>
      </c>
      <c r="R13" s="5">
        <v>6</v>
      </c>
      <c r="S13" s="5">
        <v>6</v>
      </c>
      <c r="T13" s="5">
        <v>8</v>
      </c>
      <c r="U13" s="5" t="s">
        <v>82</v>
      </c>
      <c r="Z13" s="5">
        <v>8</v>
      </c>
      <c r="AA13" s="5">
        <v>8</v>
      </c>
      <c r="AB13" s="5">
        <v>8</v>
      </c>
      <c r="AC13" s="5">
        <v>2</v>
      </c>
      <c r="AD13" s="5">
        <v>1</v>
      </c>
      <c r="AE13" s="5">
        <v>6</v>
      </c>
      <c r="AF13" s="5">
        <v>10</v>
      </c>
      <c r="AG13" s="5">
        <v>8</v>
      </c>
      <c r="AH13" s="5">
        <v>9</v>
      </c>
      <c r="AI13" s="5">
        <v>9</v>
      </c>
      <c r="AJ13" s="5">
        <v>4</v>
      </c>
      <c r="AK13" s="5" t="s">
        <v>87</v>
      </c>
      <c r="AL13" s="5" t="s">
        <v>80</v>
      </c>
      <c r="AM13" s="5" t="s">
        <v>80</v>
      </c>
      <c r="AN13" s="5" t="s">
        <v>198</v>
      </c>
      <c r="AO13" s="5" t="s">
        <v>104</v>
      </c>
      <c r="AP13" s="5">
        <v>46</v>
      </c>
      <c r="AQ13" s="5" t="s">
        <v>119</v>
      </c>
      <c r="AR13" s="5" t="s">
        <v>107</v>
      </c>
      <c r="AS13" s="5" t="s">
        <v>80</v>
      </c>
      <c r="AT13" s="5" t="s">
        <v>199</v>
      </c>
      <c r="AU13" s="5" t="s">
        <v>200</v>
      </c>
    </row>
    <row r="14" spans="1:55" ht="22.5" customHeight="1" x14ac:dyDescent="0.2">
      <c r="A14" s="16">
        <v>45734.610885069444</v>
      </c>
      <c r="B14" s="5" t="s">
        <v>83</v>
      </c>
      <c r="D14" s="5" t="s">
        <v>86</v>
      </c>
      <c r="F14" s="5" t="s">
        <v>89</v>
      </c>
      <c r="G14" s="5" t="s">
        <v>155</v>
      </c>
      <c r="H14" s="5" t="s">
        <v>154</v>
      </c>
      <c r="I14" s="5">
        <v>5</v>
      </c>
      <c r="J14" s="5" t="s">
        <v>80</v>
      </c>
      <c r="K14" s="5" t="s">
        <v>80</v>
      </c>
      <c r="L14" s="5" t="s">
        <v>75</v>
      </c>
      <c r="M14" s="5" t="s">
        <v>75</v>
      </c>
      <c r="N14" s="5" t="s">
        <v>75</v>
      </c>
      <c r="O14" s="5" t="s">
        <v>80</v>
      </c>
      <c r="P14" s="5">
        <v>7</v>
      </c>
      <c r="Q14" s="5">
        <v>8</v>
      </c>
      <c r="R14" s="5">
        <v>7</v>
      </c>
      <c r="S14" s="5">
        <v>6</v>
      </c>
      <c r="T14" s="5">
        <v>2</v>
      </c>
      <c r="U14" s="5" t="s">
        <v>82</v>
      </c>
      <c r="Z14" s="5">
        <v>9</v>
      </c>
      <c r="AA14" s="5">
        <v>4</v>
      </c>
      <c r="AB14" s="5">
        <v>8</v>
      </c>
      <c r="AC14" s="5">
        <v>10</v>
      </c>
      <c r="AD14" s="5">
        <v>10</v>
      </c>
      <c r="AE14" s="5">
        <v>10</v>
      </c>
      <c r="AF14" s="5">
        <v>10</v>
      </c>
      <c r="AG14" s="5">
        <v>9</v>
      </c>
      <c r="AH14" s="5">
        <v>10</v>
      </c>
      <c r="AI14" s="5">
        <v>10</v>
      </c>
      <c r="AJ14" s="5">
        <v>1</v>
      </c>
      <c r="AK14" s="5" t="s">
        <v>68</v>
      </c>
      <c r="AL14" s="5" t="s">
        <v>80</v>
      </c>
      <c r="AM14" s="5" t="s">
        <v>80</v>
      </c>
      <c r="AN14" s="5" t="s">
        <v>201</v>
      </c>
      <c r="AO14" s="5" t="s">
        <v>104</v>
      </c>
      <c r="AP14" s="5">
        <v>57</v>
      </c>
      <c r="AQ14" s="5" t="s">
        <v>106</v>
      </c>
      <c r="AR14" s="5" t="s">
        <v>107</v>
      </c>
      <c r="AS14" s="5" t="s">
        <v>80</v>
      </c>
      <c r="AU14" s="5" t="s">
        <v>173</v>
      </c>
      <c r="AV14" s="18"/>
    </row>
    <row r="15" spans="1:55" ht="22.5" customHeight="1" x14ac:dyDescent="0.2">
      <c r="A15" s="16">
        <v>45734.580261134259</v>
      </c>
      <c r="B15" s="5" t="s">
        <v>83</v>
      </c>
      <c r="D15" s="5" t="s">
        <v>86</v>
      </c>
      <c r="F15" s="5" t="s">
        <v>89</v>
      </c>
      <c r="G15" s="5" t="s">
        <v>90</v>
      </c>
      <c r="H15" s="5" t="s">
        <v>154</v>
      </c>
      <c r="I15" s="5">
        <v>4</v>
      </c>
      <c r="J15" s="5" t="s">
        <v>82</v>
      </c>
      <c r="K15" s="5" t="s">
        <v>80</v>
      </c>
      <c r="L15" s="5" t="s">
        <v>75</v>
      </c>
      <c r="M15" s="5" t="s">
        <v>75</v>
      </c>
      <c r="N15" s="5" t="s">
        <v>75</v>
      </c>
      <c r="O15" s="5" t="s">
        <v>80</v>
      </c>
      <c r="P15" s="5">
        <v>10</v>
      </c>
      <c r="Q15" s="5">
        <v>10</v>
      </c>
      <c r="R15" s="5">
        <v>10</v>
      </c>
      <c r="S15" s="5">
        <v>10</v>
      </c>
      <c r="T15" s="5">
        <v>10</v>
      </c>
      <c r="U15" s="5" t="s">
        <v>82</v>
      </c>
      <c r="Z15" s="5">
        <v>10</v>
      </c>
      <c r="AA15" s="5">
        <v>10</v>
      </c>
      <c r="AB15" s="5">
        <v>10</v>
      </c>
      <c r="AC15" s="5">
        <v>10</v>
      </c>
      <c r="AD15" s="5">
        <v>10</v>
      </c>
      <c r="AF15" s="5">
        <v>10</v>
      </c>
      <c r="AG15" s="5">
        <v>10</v>
      </c>
      <c r="AH15" s="5">
        <v>10</v>
      </c>
      <c r="AI15" s="5">
        <v>10</v>
      </c>
      <c r="AJ15" s="5">
        <v>1</v>
      </c>
      <c r="AK15" s="5" t="s">
        <v>9</v>
      </c>
      <c r="AL15" s="5" t="s">
        <v>80</v>
      </c>
      <c r="AM15" s="5" t="s">
        <v>80</v>
      </c>
      <c r="AN15" s="5" t="s">
        <v>202</v>
      </c>
      <c r="AO15" s="5" t="s">
        <v>104</v>
      </c>
      <c r="AP15" s="5">
        <v>25</v>
      </c>
      <c r="AQ15" s="5" t="s">
        <v>106</v>
      </c>
      <c r="AR15" s="5" t="s">
        <v>174</v>
      </c>
      <c r="AS15" s="5" t="s">
        <v>80</v>
      </c>
      <c r="AU15" s="5" t="s">
        <v>203</v>
      </c>
      <c r="AV15" s="18"/>
    </row>
    <row r="16" spans="1:55" ht="22.5" customHeight="1" x14ac:dyDescent="0.2">
      <c r="A16" s="16">
        <v>45734.686689085647</v>
      </c>
      <c r="B16" s="5" t="s">
        <v>83</v>
      </c>
      <c r="D16" s="5" t="s">
        <v>86</v>
      </c>
      <c r="F16" s="5" t="s">
        <v>121</v>
      </c>
      <c r="G16" s="5" t="s">
        <v>155</v>
      </c>
      <c r="H16" s="5" t="s">
        <v>154</v>
      </c>
      <c r="I16" s="5">
        <v>6</v>
      </c>
      <c r="J16" s="5" t="s">
        <v>82</v>
      </c>
      <c r="K16" s="5" t="s">
        <v>189</v>
      </c>
      <c r="L16" s="5" t="s">
        <v>75</v>
      </c>
      <c r="M16" s="5" t="s">
        <v>75</v>
      </c>
      <c r="N16" s="5" t="s">
        <v>75</v>
      </c>
      <c r="O16" s="5" t="s">
        <v>80</v>
      </c>
      <c r="P16" s="5">
        <v>10</v>
      </c>
      <c r="Q16" s="5">
        <v>6</v>
      </c>
      <c r="R16" s="5">
        <v>6</v>
      </c>
      <c r="S16" s="5">
        <v>7</v>
      </c>
      <c r="T16" s="5">
        <v>6</v>
      </c>
      <c r="U16" s="5" t="s">
        <v>82</v>
      </c>
      <c r="Z16" s="5">
        <v>10</v>
      </c>
      <c r="AA16" s="5">
        <v>10</v>
      </c>
      <c r="AB16" s="5">
        <v>10</v>
      </c>
      <c r="AC16" s="5">
        <v>10</v>
      </c>
      <c r="AD16" s="5">
        <v>10</v>
      </c>
      <c r="AE16" s="5">
        <v>10</v>
      </c>
      <c r="AF16" s="5">
        <v>10</v>
      </c>
      <c r="AG16" s="5">
        <v>10</v>
      </c>
      <c r="AH16" s="5">
        <v>10</v>
      </c>
      <c r="AI16" s="5">
        <v>8</v>
      </c>
      <c r="AJ16" s="5">
        <v>1</v>
      </c>
      <c r="AK16" s="5" t="s">
        <v>76</v>
      </c>
      <c r="AL16" s="5" t="s">
        <v>80</v>
      </c>
      <c r="AM16" s="5" t="s">
        <v>80</v>
      </c>
      <c r="AN16" s="5" t="s">
        <v>204</v>
      </c>
      <c r="AO16" s="5" t="s">
        <v>104</v>
      </c>
      <c r="AP16" s="5">
        <v>40</v>
      </c>
      <c r="AQ16" s="5" t="s">
        <v>106</v>
      </c>
      <c r="AR16" s="5" t="s">
        <v>107</v>
      </c>
      <c r="AS16" s="5" t="s">
        <v>80</v>
      </c>
      <c r="AU16" s="5" t="s">
        <v>205</v>
      </c>
    </row>
    <row r="17" spans="1:49" ht="22.5" customHeight="1" x14ac:dyDescent="0.2">
      <c r="A17" s="16">
        <v>45734.523399907412</v>
      </c>
      <c r="B17" s="5" t="s">
        <v>137</v>
      </c>
      <c r="C17" s="5" t="s">
        <v>141</v>
      </c>
      <c r="D17" s="5" t="s">
        <v>149</v>
      </c>
      <c r="E17" s="5" t="s">
        <v>150</v>
      </c>
      <c r="F17" s="5" t="s">
        <v>206</v>
      </c>
      <c r="G17" s="5" t="s">
        <v>155</v>
      </c>
      <c r="H17" s="5" t="s">
        <v>135</v>
      </c>
      <c r="I17" s="5">
        <v>6</v>
      </c>
      <c r="J17" s="5">
        <v>2</v>
      </c>
      <c r="K17" s="5" t="s">
        <v>82</v>
      </c>
      <c r="L17" s="5" t="s">
        <v>75</v>
      </c>
      <c r="M17" s="5" t="s">
        <v>75</v>
      </c>
      <c r="N17" s="5" t="s">
        <v>109</v>
      </c>
      <c r="O17" s="5" t="s">
        <v>80</v>
      </c>
      <c r="P17" s="5">
        <v>10</v>
      </c>
      <c r="Q17" s="5">
        <v>5</v>
      </c>
      <c r="R17" s="5">
        <v>8</v>
      </c>
      <c r="S17" s="5">
        <v>10</v>
      </c>
      <c r="T17" s="5">
        <v>6</v>
      </c>
      <c r="U17" s="5" t="s">
        <v>82</v>
      </c>
      <c r="Z17" s="5">
        <v>3</v>
      </c>
      <c r="AA17" s="5">
        <v>10</v>
      </c>
      <c r="AB17" s="5">
        <v>9</v>
      </c>
      <c r="AC17" s="5">
        <v>7</v>
      </c>
      <c r="AD17" s="5">
        <v>9</v>
      </c>
      <c r="AE17" s="5">
        <v>7</v>
      </c>
      <c r="AF17" s="5">
        <v>10</v>
      </c>
      <c r="AG17" s="5">
        <v>10</v>
      </c>
      <c r="AH17" s="5">
        <v>10</v>
      </c>
      <c r="AI17" s="5">
        <v>10</v>
      </c>
      <c r="AJ17" s="5">
        <v>3</v>
      </c>
      <c r="AK17" s="5" t="s">
        <v>31</v>
      </c>
      <c r="AL17" s="5" t="s">
        <v>82</v>
      </c>
      <c r="AM17" s="5" t="s">
        <v>82</v>
      </c>
      <c r="AN17" s="5" t="s">
        <v>207</v>
      </c>
      <c r="AO17" s="5" t="s">
        <v>104</v>
      </c>
      <c r="AP17" s="5">
        <v>35</v>
      </c>
      <c r="AQ17" s="5" t="s">
        <v>106</v>
      </c>
      <c r="AR17" s="5" t="s">
        <v>174</v>
      </c>
      <c r="AS17" s="5" t="s">
        <v>80</v>
      </c>
      <c r="AT17" s="5" t="s">
        <v>209</v>
      </c>
      <c r="AU17" s="18"/>
      <c r="AV17" s="18"/>
      <c r="AW17" s="18"/>
    </row>
    <row r="18" spans="1:49" ht="22.5" customHeight="1" x14ac:dyDescent="0.2">
      <c r="A18" s="16">
        <v>45734.509202071757</v>
      </c>
      <c r="B18" s="5" t="s">
        <v>83</v>
      </c>
      <c r="D18" s="5" t="s">
        <v>86</v>
      </c>
      <c r="F18" s="5" t="s">
        <v>121</v>
      </c>
      <c r="G18" s="5" t="s">
        <v>210</v>
      </c>
      <c r="H18" s="5" t="s">
        <v>154</v>
      </c>
      <c r="I18" s="5" t="s">
        <v>127</v>
      </c>
      <c r="J18" s="5" t="s">
        <v>211</v>
      </c>
      <c r="K18" s="5" t="s">
        <v>80</v>
      </c>
      <c r="L18" s="5" t="s">
        <v>75</v>
      </c>
      <c r="M18" s="5" t="s">
        <v>75</v>
      </c>
      <c r="N18" s="5" t="s">
        <v>75</v>
      </c>
      <c r="O18" s="5" t="s">
        <v>80</v>
      </c>
      <c r="P18" s="5">
        <v>15</v>
      </c>
      <c r="Q18" s="5">
        <v>10</v>
      </c>
      <c r="R18" s="5">
        <v>10</v>
      </c>
      <c r="S18" s="5">
        <v>10</v>
      </c>
      <c r="T18" s="5">
        <v>10</v>
      </c>
      <c r="U18" s="5" t="s">
        <v>80</v>
      </c>
      <c r="V18" s="5">
        <v>45</v>
      </c>
      <c r="W18" s="5">
        <v>10</v>
      </c>
      <c r="X18" s="5">
        <v>10</v>
      </c>
      <c r="Y18" s="5">
        <v>10</v>
      </c>
      <c r="Z18" s="5">
        <v>10</v>
      </c>
      <c r="AA18" s="5">
        <v>10</v>
      </c>
      <c r="AB18" s="5">
        <v>10</v>
      </c>
      <c r="AC18" s="5">
        <v>10</v>
      </c>
      <c r="AD18" s="5">
        <v>10</v>
      </c>
      <c r="AE18" s="5">
        <v>8</v>
      </c>
      <c r="AF18" s="5">
        <v>10</v>
      </c>
      <c r="AG18" s="5">
        <v>10</v>
      </c>
      <c r="AH18" s="5">
        <v>10</v>
      </c>
      <c r="AI18" s="5">
        <v>10</v>
      </c>
      <c r="AJ18" s="5">
        <v>30</v>
      </c>
      <c r="AK18" s="5" t="s">
        <v>24</v>
      </c>
      <c r="AL18" s="5" t="s">
        <v>80</v>
      </c>
      <c r="AM18" s="5" t="s">
        <v>80</v>
      </c>
      <c r="AN18" s="5" t="s">
        <v>212</v>
      </c>
      <c r="AO18" s="5" t="s">
        <v>104</v>
      </c>
      <c r="AP18" s="5">
        <v>39</v>
      </c>
      <c r="AQ18" s="5" t="s">
        <v>106</v>
      </c>
      <c r="AR18" s="5" t="s">
        <v>174</v>
      </c>
      <c r="AS18" s="5" t="s">
        <v>80</v>
      </c>
      <c r="AT18" s="5" t="s">
        <v>213</v>
      </c>
      <c r="AU18" s="18"/>
      <c r="AV18" s="18"/>
      <c r="AW18" s="18"/>
    </row>
    <row r="19" spans="1:49" ht="22.5" customHeight="1" x14ac:dyDescent="0.2">
      <c r="A19" s="16">
        <v>45735.514325543976</v>
      </c>
      <c r="B19" s="5" t="s">
        <v>83</v>
      </c>
      <c r="D19" s="5" t="s">
        <v>86</v>
      </c>
      <c r="F19" s="5" t="s">
        <v>121</v>
      </c>
      <c r="G19" s="5" t="s">
        <v>155</v>
      </c>
      <c r="H19" s="5" t="s">
        <v>123</v>
      </c>
      <c r="I19" s="5">
        <v>7</v>
      </c>
      <c r="J19" s="5" t="s">
        <v>82</v>
      </c>
      <c r="K19" s="5" t="s">
        <v>82</v>
      </c>
      <c r="L19" s="5" t="s">
        <v>125</v>
      </c>
      <c r="M19" s="5" t="s">
        <v>105</v>
      </c>
      <c r="N19" s="5" t="s">
        <v>75</v>
      </c>
      <c r="O19" s="5" t="s">
        <v>80</v>
      </c>
      <c r="P19" s="5">
        <v>18</v>
      </c>
      <c r="Q19" s="5">
        <v>7</v>
      </c>
      <c r="R19" s="5">
        <v>3</v>
      </c>
      <c r="S19" s="5">
        <v>1</v>
      </c>
      <c r="T19" s="5">
        <v>1</v>
      </c>
      <c r="U19" s="5" t="s">
        <v>82</v>
      </c>
      <c r="Z19" s="5">
        <v>7</v>
      </c>
      <c r="AA19" s="5">
        <v>8</v>
      </c>
      <c r="AB19" s="5">
        <v>8</v>
      </c>
      <c r="AC19" s="5">
        <v>10</v>
      </c>
      <c r="AD19" s="5">
        <v>2</v>
      </c>
      <c r="AE19" s="5">
        <v>5</v>
      </c>
      <c r="AF19" s="5">
        <v>5</v>
      </c>
      <c r="AG19" s="5">
        <v>6</v>
      </c>
      <c r="AH19" s="5">
        <v>7</v>
      </c>
      <c r="AI19" s="5">
        <v>9</v>
      </c>
      <c r="AJ19" s="5">
        <v>0</v>
      </c>
      <c r="AK19" s="5">
        <v>0</v>
      </c>
      <c r="AL19" s="5" t="s">
        <v>80</v>
      </c>
      <c r="AM19" s="5" t="s">
        <v>80</v>
      </c>
      <c r="AN19" s="5" t="s">
        <v>214</v>
      </c>
      <c r="AO19" s="5" t="s">
        <v>104</v>
      </c>
      <c r="AP19" s="5">
        <v>22</v>
      </c>
      <c r="AQ19" s="5" t="s">
        <v>119</v>
      </c>
      <c r="AR19" s="5" t="s">
        <v>174</v>
      </c>
      <c r="AS19" s="5" t="s">
        <v>80</v>
      </c>
      <c r="AU19" s="5" t="s">
        <v>215</v>
      </c>
    </row>
    <row r="20" spans="1:49" ht="22.5" customHeight="1" x14ac:dyDescent="0.2">
      <c r="A20" s="16">
        <v>45734.698953564817</v>
      </c>
      <c r="B20" s="5" t="s">
        <v>83</v>
      </c>
      <c r="D20" s="5" t="s">
        <v>86</v>
      </c>
      <c r="F20" s="5" t="s">
        <v>121</v>
      </c>
      <c r="G20" s="5" t="s">
        <v>90</v>
      </c>
      <c r="H20" s="5" t="s">
        <v>91</v>
      </c>
      <c r="I20" s="5">
        <v>5</v>
      </c>
      <c r="J20" s="5" t="s">
        <v>82</v>
      </c>
      <c r="K20" s="5" t="s">
        <v>82</v>
      </c>
      <c r="L20" s="5" t="s">
        <v>75</v>
      </c>
      <c r="M20" s="5" t="s">
        <v>75</v>
      </c>
      <c r="N20" s="5" t="s">
        <v>75</v>
      </c>
      <c r="O20" s="5" t="s">
        <v>80</v>
      </c>
      <c r="P20" s="5">
        <v>20</v>
      </c>
      <c r="Q20" s="5">
        <v>10</v>
      </c>
      <c r="R20" s="5">
        <v>10</v>
      </c>
      <c r="S20" s="5">
        <v>10</v>
      </c>
      <c r="T20" s="5">
        <v>6</v>
      </c>
      <c r="U20" s="5" t="s">
        <v>82</v>
      </c>
      <c r="Z20" s="5">
        <v>10</v>
      </c>
      <c r="AA20" s="5">
        <v>7</v>
      </c>
      <c r="AB20" s="5">
        <v>10</v>
      </c>
      <c r="AC20" s="5">
        <v>10</v>
      </c>
      <c r="AD20" s="5">
        <v>9</v>
      </c>
      <c r="AE20" s="5">
        <v>9</v>
      </c>
      <c r="AF20" s="5">
        <v>10</v>
      </c>
      <c r="AG20" s="5">
        <v>9</v>
      </c>
      <c r="AH20" s="5">
        <v>10</v>
      </c>
      <c r="AI20" s="5">
        <v>10</v>
      </c>
      <c r="AJ20" s="5">
        <v>1</v>
      </c>
      <c r="AK20" s="5" t="s">
        <v>68</v>
      </c>
      <c r="AL20" s="5" t="s">
        <v>80</v>
      </c>
      <c r="AM20" s="5" t="s">
        <v>80</v>
      </c>
      <c r="AN20" s="5" t="s">
        <v>216</v>
      </c>
      <c r="AO20" s="5" t="s">
        <v>104</v>
      </c>
      <c r="AP20" s="5">
        <v>23</v>
      </c>
      <c r="AQ20" s="5" t="s">
        <v>106</v>
      </c>
      <c r="AR20" s="5" t="s">
        <v>174</v>
      </c>
      <c r="AS20" s="5" t="s">
        <v>80</v>
      </c>
      <c r="AU20" s="5" t="s">
        <v>217</v>
      </c>
    </row>
    <row r="21" spans="1:49" ht="22.5" customHeight="1" x14ac:dyDescent="0.2">
      <c r="A21" s="16">
        <v>45734.511429756945</v>
      </c>
      <c r="B21" s="5" t="s">
        <v>83</v>
      </c>
      <c r="D21" s="5" t="s">
        <v>86</v>
      </c>
      <c r="F21" s="5" t="s">
        <v>89</v>
      </c>
      <c r="G21" s="5" t="s">
        <v>90</v>
      </c>
      <c r="H21" s="5" t="s">
        <v>123</v>
      </c>
      <c r="I21" s="5" t="s">
        <v>127</v>
      </c>
      <c r="J21" s="5" t="s">
        <v>80</v>
      </c>
      <c r="K21" s="5" t="s">
        <v>82</v>
      </c>
      <c r="L21" s="5" t="s">
        <v>75</v>
      </c>
      <c r="M21" s="5" t="s">
        <v>105</v>
      </c>
      <c r="N21" s="5" t="s">
        <v>75</v>
      </c>
      <c r="O21" s="5" t="s">
        <v>80</v>
      </c>
      <c r="P21" s="5">
        <v>20</v>
      </c>
      <c r="Q21" s="5">
        <v>8</v>
      </c>
      <c r="R21" s="5">
        <v>5</v>
      </c>
      <c r="S21" s="5">
        <v>5</v>
      </c>
      <c r="T21" s="5">
        <v>1</v>
      </c>
      <c r="U21" s="5" t="s">
        <v>82</v>
      </c>
      <c r="Z21" s="5">
        <v>10</v>
      </c>
      <c r="AA21" s="5">
        <v>10</v>
      </c>
      <c r="AB21" s="5">
        <v>10</v>
      </c>
      <c r="AC21" s="5">
        <v>6</v>
      </c>
      <c r="AD21" s="5">
        <v>5</v>
      </c>
      <c r="AE21" s="5">
        <v>9</v>
      </c>
      <c r="AF21" s="5">
        <v>10</v>
      </c>
      <c r="AG21" s="5">
        <v>5</v>
      </c>
      <c r="AH21" s="5">
        <v>6</v>
      </c>
      <c r="AI21" s="5">
        <v>10</v>
      </c>
      <c r="AJ21" s="5">
        <v>1</v>
      </c>
      <c r="AK21" s="5" t="s">
        <v>9</v>
      </c>
      <c r="AL21" s="5" t="s">
        <v>80</v>
      </c>
      <c r="AM21" s="5" t="s">
        <v>80</v>
      </c>
      <c r="AN21" s="5" t="s">
        <v>218</v>
      </c>
      <c r="AO21" s="5" t="s">
        <v>104</v>
      </c>
      <c r="AP21" s="5">
        <v>36</v>
      </c>
      <c r="AQ21" s="5" t="s">
        <v>106</v>
      </c>
      <c r="AR21" s="5" t="s">
        <v>107</v>
      </c>
      <c r="AS21" s="5" t="s">
        <v>80</v>
      </c>
    </row>
    <row r="22" spans="1:49" ht="22.5" customHeight="1" x14ac:dyDescent="0.2">
      <c r="A22" s="16">
        <v>45734.56649780093</v>
      </c>
      <c r="B22" s="5" t="s">
        <v>83</v>
      </c>
      <c r="D22" s="5" t="s">
        <v>86</v>
      </c>
      <c r="F22" s="5" t="s">
        <v>89</v>
      </c>
      <c r="G22" s="5" t="s">
        <v>90</v>
      </c>
      <c r="H22" s="5" t="s">
        <v>154</v>
      </c>
      <c r="I22" s="5" t="s">
        <v>131</v>
      </c>
      <c r="J22" s="5" t="s">
        <v>80</v>
      </c>
      <c r="K22" s="5" t="s">
        <v>182</v>
      </c>
      <c r="L22" s="5" t="s">
        <v>75</v>
      </c>
      <c r="M22" s="5" t="s">
        <v>75</v>
      </c>
      <c r="N22" s="5" t="s">
        <v>75</v>
      </c>
      <c r="O22" s="5" t="s">
        <v>80</v>
      </c>
      <c r="P22" s="5" t="s">
        <v>16</v>
      </c>
      <c r="Q22" s="5">
        <v>10</v>
      </c>
      <c r="R22" s="5">
        <v>7</v>
      </c>
      <c r="S22" s="5">
        <v>9</v>
      </c>
      <c r="T22" s="5">
        <v>8</v>
      </c>
      <c r="U22" s="5" t="s">
        <v>82</v>
      </c>
      <c r="Z22" s="5">
        <v>8</v>
      </c>
      <c r="AA22" s="5">
        <v>8</v>
      </c>
      <c r="AB22" s="5">
        <v>8</v>
      </c>
      <c r="AC22" s="5">
        <v>8</v>
      </c>
      <c r="AD22" s="5">
        <v>10</v>
      </c>
      <c r="AE22" s="5">
        <v>9</v>
      </c>
      <c r="AF22" s="5">
        <v>8</v>
      </c>
      <c r="AG22" s="5">
        <v>8</v>
      </c>
      <c r="AH22" s="5">
        <v>8</v>
      </c>
      <c r="AI22" s="5">
        <v>8</v>
      </c>
      <c r="AJ22" s="5" t="s">
        <v>219</v>
      </c>
      <c r="AK22" s="5" t="s">
        <v>41</v>
      </c>
      <c r="AL22" s="5" t="s">
        <v>80</v>
      </c>
      <c r="AM22" s="5" t="s">
        <v>80</v>
      </c>
      <c r="AN22" s="5" t="s">
        <v>220</v>
      </c>
      <c r="AO22" s="5" t="s">
        <v>104</v>
      </c>
      <c r="AP22" s="5">
        <v>43</v>
      </c>
      <c r="AQ22" s="5" t="s">
        <v>106</v>
      </c>
      <c r="AR22" s="5" t="s">
        <v>107</v>
      </c>
      <c r="AS22" s="5" t="s">
        <v>80</v>
      </c>
      <c r="AT22" s="5" t="s">
        <v>221</v>
      </c>
      <c r="AU22" s="5" t="s">
        <v>222</v>
      </c>
      <c r="AV22" s="18"/>
    </row>
    <row r="23" spans="1:49" ht="22.5" customHeight="1" x14ac:dyDescent="0.2">
      <c r="A23" s="16">
        <v>45734.537324131947</v>
      </c>
      <c r="B23" s="5" t="s">
        <v>83</v>
      </c>
      <c r="D23" s="5" t="s">
        <v>86</v>
      </c>
      <c r="E23" s="5" t="s">
        <v>151</v>
      </c>
      <c r="F23" s="5" t="s">
        <v>121</v>
      </c>
      <c r="G23" s="5" t="s">
        <v>90</v>
      </c>
      <c r="H23" s="5" t="s">
        <v>154</v>
      </c>
      <c r="I23" s="5">
        <v>5</v>
      </c>
      <c r="J23" s="5" t="s">
        <v>80</v>
      </c>
      <c r="K23" s="5" t="s">
        <v>80</v>
      </c>
      <c r="L23" s="5" t="s">
        <v>75</v>
      </c>
      <c r="M23" s="5" t="s">
        <v>115</v>
      </c>
      <c r="N23" s="5" t="s">
        <v>116</v>
      </c>
      <c r="O23" s="5" t="s">
        <v>80</v>
      </c>
      <c r="P23" s="5" t="s">
        <v>13</v>
      </c>
      <c r="Q23" s="5">
        <v>10</v>
      </c>
      <c r="R23" s="5">
        <v>9</v>
      </c>
      <c r="S23" s="5">
        <v>5</v>
      </c>
      <c r="T23" s="5">
        <v>5</v>
      </c>
      <c r="U23" s="5" t="s">
        <v>82</v>
      </c>
      <c r="Z23" s="5">
        <v>10</v>
      </c>
      <c r="AA23" s="5">
        <v>8</v>
      </c>
      <c r="AB23" s="5">
        <v>10</v>
      </c>
      <c r="AC23" s="5">
        <v>5</v>
      </c>
      <c r="AD23" s="5">
        <v>5</v>
      </c>
      <c r="AE23" s="5">
        <v>5</v>
      </c>
      <c r="AF23" s="5">
        <v>10</v>
      </c>
      <c r="AG23" s="5">
        <v>5</v>
      </c>
      <c r="AH23" s="5">
        <v>8</v>
      </c>
      <c r="AI23" s="5">
        <v>10</v>
      </c>
      <c r="AJ23" s="5" t="s">
        <v>223</v>
      </c>
      <c r="AK23" s="5" t="s">
        <v>224</v>
      </c>
      <c r="AL23" s="5" t="s">
        <v>80</v>
      </c>
      <c r="AM23" s="5" t="s">
        <v>80</v>
      </c>
      <c r="AN23" s="5" t="s">
        <v>225</v>
      </c>
      <c r="AO23" s="5" t="s">
        <v>104</v>
      </c>
      <c r="AP23" s="5">
        <v>38</v>
      </c>
      <c r="AQ23" s="5" t="s">
        <v>106</v>
      </c>
      <c r="AR23" s="5" t="s">
        <v>107</v>
      </c>
      <c r="AS23" s="5" t="s">
        <v>80</v>
      </c>
    </row>
    <row r="24" spans="1:49" ht="22.5" customHeight="1" x14ac:dyDescent="0.2">
      <c r="A24" s="20">
        <v>45733.827335231486</v>
      </c>
      <c r="B24" s="2" t="s">
        <v>83</v>
      </c>
      <c r="C24" s="6"/>
      <c r="D24" s="2" t="s">
        <v>86</v>
      </c>
      <c r="E24" s="6"/>
      <c r="F24" s="2" t="s">
        <v>89</v>
      </c>
      <c r="G24" s="2" t="s">
        <v>90</v>
      </c>
      <c r="H24" s="2" t="s">
        <v>154</v>
      </c>
      <c r="I24" s="2">
        <v>2</v>
      </c>
      <c r="J24" s="2" t="s">
        <v>80</v>
      </c>
      <c r="K24" s="2" t="s">
        <v>80</v>
      </c>
      <c r="L24" s="2" t="s">
        <v>75</v>
      </c>
      <c r="M24" s="2" t="s">
        <v>78</v>
      </c>
      <c r="N24" s="2" t="s">
        <v>75</v>
      </c>
      <c r="O24" s="2" t="s">
        <v>80</v>
      </c>
      <c r="P24" s="3" t="s">
        <v>2</v>
      </c>
      <c r="Q24" s="2">
        <v>7</v>
      </c>
      <c r="R24" s="2">
        <v>7</v>
      </c>
      <c r="S24" s="2">
        <v>7</v>
      </c>
      <c r="T24" s="2">
        <v>7</v>
      </c>
      <c r="U24" s="2" t="s">
        <v>82</v>
      </c>
      <c r="V24" s="6"/>
      <c r="W24" s="6"/>
      <c r="X24" s="6"/>
      <c r="Y24" s="6"/>
      <c r="Z24" s="2">
        <v>10</v>
      </c>
      <c r="AA24" s="2">
        <v>10</v>
      </c>
      <c r="AB24" s="2">
        <v>5</v>
      </c>
      <c r="AC24" s="2">
        <v>6</v>
      </c>
      <c r="AD24" s="2">
        <v>5</v>
      </c>
      <c r="AE24" s="2">
        <v>5</v>
      </c>
      <c r="AF24" s="2">
        <v>10</v>
      </c>
      <c r="AG24" s="2">
        <v>8</v>
      </c>
      <c r="AH24" s="2">
        <v>8</v>
      </c>
      <c r="AI24" s="2">
        <v>10</v>
      </c>
      <c r="AJ24" s="2">
        <v>2</v>
      </c>
      <c r="AK24" s="2" t="s">
        <v>6</v>
      </c>
      <c r="AL24" s="2" t="s">
        <v>80</v>
      </c>
      <c r="AM24" s="2" t="s">
        <v>80</v>
      </c>
      <c r="AN24" s="2" t="s">
        <v>226</v>
      </c>
      <c r="AO24" s="2" t="s">
        <v>104</v>
      </c>
      <c r="AP24" s="2">
        <v>43</v>
      </c>
      <c r="AQ24" s="2" t="s">
        <v>106</v>
      </c>
      <c r="AR24" s="2" t="s">
        <v>107</v>
      </c>
      <c r="AS24" s="2" t="s">
        <v>80</v>
      </c>
      <c r="AT24" s="15"/>
      <c r="AU24" s="15"/>
      <c r="AV24" s="15"/>
      <c r="AW24" s="15"/>
    </row>
    <row r="25" spans="1:49" ht="22.5" customHeight="1" x14ac:dyDescent="0.2">
      <c r="A25" s="16">
        <v>45734.618737094905</v>
      </c>
      <c r="B25" s="5" t="s">
        <v>83</v>
      </c>
      <c r="D25" s="5" t="s">
        <v>86</v>
      </c>
      <c r="F25" s="5" t="s">
        <v>112</v>
      </c>
      <c r="G25" s="5" t="s">
        <v>90</v>
      </c>
      <c r="H25" s="5" t="s">
        <v>154</v>
      </c>
      <c r="I25" s="9" t="s">
        <v>2</v>
      </c>
      <c r="J25" s="5" t="s">
        <v>82</v>
      </c>
      <c r="K25" s="5" t="s">
        <v>82</v>
      </c>
      <c r="L25" s="5" t="s">
        <v>75</v>
      </c>
      <c r="M25" s="5" t="s">
        <v>75</v>
      </c>
      <c r="N25" s="5" t="s">
        <v>75</v>
      </c>
      <c r="O25" s="5" t="s">
        <v>80</v>
      </c>
      <c r="P25" s="9" t="s">
        <v>26</v>
      </c>
      <c r="Q25" s="5">
        <v>5</v>
      </c>
      <c r="R25" s="5">
        <v>5</v>
      </c>
      <c r="S25" s="5">
        <v>9</v>
      </c>
      <c r="T25" s="5">
        <v>8</v>
      </c>
      <c r="U25" s="5" t="s">
        <v>82</v>
      </c>
      <c r="Z25" s="5">
        <v>10</v>
      </c>
      <c r="AA25" s="5">
        <v>10</v>
      </c>
      <c r="AB25" s="5">
        <v>10</v>
      </c>
      <c r="AC25" s="5">
        <v>10</v>
      </c>
      <c r="AD25" s="5">
        <v>10</v>
      </c>
      <c r="AE25" s="5">
        <v>10</v>
      </c>
      <c r="AF25" s="5">
        <v>10</v>
      </c>
      <c r="AG25" s="5">
        <v>10</v>
      </c>
      <c r="AH25" s="5">
        <v>10</v>
      </c>
      <c r="AI25" s="5">
        <v>10</v>
      </c>
      <c r="AJ25" s="5">
        <v>1</v>
      </c>
      <c r="AK25" s="5" t="s">
        <v>41</v>
      </c>
      <c r="AL25" s="5" t="s">
        <v>80</v>
      </c>
      <c r="AM25" s="5" t="s">
        <v>80</v>
      </c>
      <c r="AN25" s="5" t="s">
        <v>227</v>
      </c>
      <c r="AO25" s="5" t="s">
        <v>104</v>
      </c>
      <c r="AP25" s="5">
        <v>40</v>
      </c>
      <c r="AQ25" s="5" t="s">
        <v>106</v>
      </c>
      <c r="AR25" s="5" t="s">
        <v>107</v>
      </c>
      <c r="AS25" s="5" t="s">
        <v>80</v>
      </c>
      <c r="AT25" s="5" t="s">
        <v>228</v>
      </c>
      <c r="AU25" s="5" t="s">
        <v>229</v>
      </c>
      <c r="AV25" s="18"/>
    </row>
    <row r="26" spans="1:49" ht="22.5" customHeight="1" x14ac:dyDescent="0.2">
      <c r="A26" s="16">
        <v>45735.890978807874</v>
      </c>
      <c r="B26" s="5" t="s">
        <v>83</v>
      </c>
      <c r="D26" s="5" t="s">
        <v>86</v>
      </c>
      <c r="F26" s="5" t="s">
        <v>89</v>
      </c>
      <c r="G26" s="5" t="s">
        <v>90</v>
      </c>
      <c r="H26" s="5" t="s">
        <v>154</v>
      </c>
      <c r="I26" s="5">
        <v>3</v>
      </c>
      <c r="J26" s="5" t="s">
        <v>82</v>
      </c>
      <c r="K26" s="5" t="s">
        <v>80</v>
      </c>
      <c r="L26" s="5" t="s">
        <v>75</v>
      </c>
      <c r="M26" s="5" t="s">
        <v>75</v>
      </c>
      <c r="N26" s="5" t="s">
        <v>75</v>
      </c>
      <c r="O26" s="5" t="s">
        <v>80</v>
      </c>
      <c r="P26" s="5" t="s">
        <v>38</v>
      </c>
      <c r="Q26" s="5">
        <v>10</v>
      </c>
      <c r="R26" s="5">
        <v>10</v>
      </c>
      <c r="S26" s="5">
        <v>10</v>
      </c>
      <c r="T26" s="5">
        <v>10</v>
      </c>
      <c r="U26" s="5" t="s">
        <v>80</v>
      </c>
      <c r="V26" s="5" t="s">
        <v>230</v>
      </c>
      <c r="W26" s="5">
        <v>10</v>
      </c>
      <c r="X26" s="5">
        <v>10</v>
      </c>
      <c r="Y26" s="5">
        <v>10</v>
      </c>
      <c r="Z26" s="5">
        <v>10</v>
      </c>
      <c r="AA26" s="5">
        <v>10</v>
      </c>
      <c r="AB26" s="5">
        <v>10</v>
      </c>
      <c r="AC26" s="5">
        <v>10</v>
      </c>
      <c r="AD26" s="5">
        <v>10</v>
      </c>
      <c r="AE26" s="5">
        <v>10</v>
      </c>
      <c r="AF26" s="5">
        <v>10</v>
      </c>
      <c r="AG26" s="5">
        <v>10</v>
      </c>
      <c r="AH26" s="5">
        <v>10</v>
      </c>
      <c r="AI26" s="5">
        <v>10</v>
      </c>
      <c r="AJ26" s="5">
        <v>5</v>
      </c>
      <c r="AK26" s="5" t="s">
        <v>99</v>
      </c>
      <c r="AL26" s="5" t="s">
        <v>80</v>
      </c>
      <c r="AM26" s="5" t="s">
        <v>80</v>
      </c>
      <c r="AN26" s="5" t="s">
        <v>231</v>
      </c>
      <c r="AO26" s="5" t="s">
        <v>104</v>
      </c>
      <c r="AP26" s="5">
        <v>28</v>
      </c>
      <c r="AQ26" s="5" t="s">
        <v>232</v>
      </c>
      <c r="AR26" s="5" t="s">
        <v>174</v>
      </c>
      <c r="AS26" s="5" t="s">
        <v>80</v>
      </c>
      <c r="AT26" s="5" t="s">
        <v>233</v>
      </c>
      <c r="AU26" s="5" t="s">
        <v>234</v>
      </c>
      <c r="AV26" s="5">
        <v>10</v>
      </c>
    </row>
    <row r="27" spans="1:49" ht="22.5" customHeight="1" x14ac:dyDescent="0.2">
      <c r="A27" s="16">
        <v>45740.87395385417</v>
      </c>
      <c r="B27" s="5" t="s">
        <v>83</v>
      </c>
      <c r="D27" s="5" t="s">
        <v>86</v>
      </c>
      <c r="F27" s="5" t="s">
        <v>89</v>
      </c>
      <c r="G27" s="5" t="s">
        <v>90</v>
      </c>
      <c r="H27" s="5" t="s">
        <v>154</v>
      </c>
      <c r="I27" s="5">
        <v>2</v>
      </c>
      <c r="J27" s="5" t="s">
        <v>80</v>
      </c>
      <c r="K27" s="5" t="s">
        <v>82</v>
      </c>
      <c r="L27" s="5" t="s">
        <v>75</v>
      </c>
      <c r="M27" s="5" t="s">
        <v>75</v>
      </c>
      <c r="N27" s="5" t="s">
        <v>75</v>
      </c>
      <c r="O27" s="5" t="s">
        <v>80</v>
      </c>
      <c r="P27" s="5" t="s">
        <v>40</v>
      </c>
      <c r="Q27" s="5">
        <v>10</v>
      </c>
      <c r="R27" s="5">
        <v>10</v>
      </c>
      <c r="S27" s="5">
        <v>10</v>
      </c>
      <c r="T27" s="5">
        <v>10</v>
      </c>
      <c r="U27" s="5" t="s">
        <v>80</v>
      </c>
      <c r="V27" s="5" t="s">
        <v>235</v>
      </c>
      <c r="W27" s="5">
        <v>10</v>
      </c>
      <c r="X27" s="5">
        <v>10</v>
      </c>
      <c r="Y27" s="5">
        <v>10</v>
      </c>
      <c r="Z27" s="5">
        <v>10</v>
      </c>
      <c r="AA27" s="5">
        <v>10</v>
      </c>
      <c r="AB27" s="5">
        <v>10</v>
      </c>
      <c r="AC27" s="5">
        <v>10</v>
      </c>
      <c r="AD27" s="5">
        <v>10</v>
      </c>
      <c r="AE27" s="5">
        <v>10</v>
      </c>
      <c r="AF27" s="5">
        <v>10</v>
      </c>
      <c r="AG27" s="5">
        <v>10</v>
      </c>
      <c r="AH27" s="5">
        <v>10</v>
      </c>
      <c r="AI27" s="5">
        <v>10</v>
      </c>
      <c r="AJ27" s="5">
        <v>3</v>
      </c>
      <c r="AK27" s="5" t="s">
        <v>101</v>
      </c>
      <c r="AL27" s="5" t="s">
        <v>80</v>
      </c>
      <c r="AM27" s="5" t="s">
        <v>80</v>
      </c>
      <c r="AN27" s="5" t="s">
        <v>236</v>
      </c>
      <c r="AO27" s="5" t="s">
        <v>104</v>
      </c>
      <c r="AP27" s="5">
        <v>34</v>
      </c>
      <c r="AQ27" s="5" t="s">
        <v>119</v>
      </c>
      <c r="AR27" s="5" t="s">
        <v>107</v>
      </c>
      <c r="AS27" s="5" t="s">
        <v>80</v>
      </c>
      <c r="AU27" s="5" t="s">
        <v>237</v>
      </c>
      <c r="AV27" s="5">
        <v>8</v>
      </c>
    </row>
    <row r="28" spans="1:49" ht="22.5" customHeight="1" x14ac:dyDescent="0.2">
      <c r="A28" s="20">
        <v>45733.848523032408</v>
      </c>
      <c r="B28" s="2" t="s">
        <v>83</v>
      </c>
      <c r="C28" s="6"/>
      <c r="D28" s="2" t="s">
        <v>86</v>
      </c>
      <c r="E28" s="6"/>
      <c r="F28" s="2" t="s">
        <v>89</v>
      </c>
      <c r="G28" s="2" t="s">
        <v>152</v>
      </c>
      <c r="H28" s="2" t="s">
        <v>154</v>
      </c>
      <c r="I28" s="2">
        <v>4</v>
      </c>
      <c r="J28" s="2" t="s">
        <v>80</v>
      </c>
      <c r="K28" s="2" t="s">
        <v>80</v>
      </c>
      <c r="L28" s="2" t="s">
        <v>88</v>
      </c>
      <c r="M28" s="2" t="s">
        <v>75</v>
      </c>
      <c r="N28" s="2" t="s">
        <v>95</v>
      </c>
      <c r="O28" s="2" t="s">
        <v>80</v>
      </c>
      <c r="P28" s="3" t="s">
        <v>3</v>
      </c>
      <c r="Q28" s="2">
        <v>7</v>
      </c>
      <c r="R28" s="2">
        <v>9</v>
      </c>
      <c r="S28" s="2">
        <v>9</v>
      </c>
      <c r="T28" s="2">
        <v>6</v>
      </c>
      <c r="U28" s="2" t="s">
        <v>80</v>
      </c>
      <c r="V28" s="2">
        <v>40</v>
      </c>
      <c r="W28" s="2">
        <v>7</v>
      </c>
      <c r="X28" s="2">
        <v>6</v>
      </c>
      <c r="Y28" s="2">
        <v>8</v>
      </c>
      <c r="Z28" s="2">
        <v>9</v>
      </c>
      <c r="AA28" s="2">
        <v>9</v>
      </c>
      <c r="AB28" s="2">
        <v>8</v>
      </c>
      <c r="AC28" s="2">
        <v>10</v>
      </c>
      <c r="AD28" s="2">
        <v>10</v>
      </c>
      <c r="AE28" s="2">
        <v>10</v>
      </c>
      <c r="AF28" s="2">
        <v>10</v>
      </c>
      <c r="AG28" s="2">
        <v>9</v>
      </c>
      <c r="AH28" s="2">
        <v>4</v>
      </c>
      <c r="AI28" s="2">
        <v>10</v>
      </c>
      <c r="AJ28" s="2">
        <v>1</v>
      </c>
      <c r="AK28" s="2" t="s">
        <v>9</v>
      </c>
      <c r="AL28" s="2" t="s">
        <v>80</v>
      </c>
      <c r="AM28" s="2" t="s">
        <v>80</v>
      </c>
      <c r="AN28" s="2" t="s">
        <v>238</v>
      </c>
      <c r="AO28" s="2" t="s">
        <v>104</v>
      </c>
      <c r="AP28" s="2">
        <v>46</v>
      </c>
      <c r="AQ28" s="2" t="s">
        <v>106</v>
      </c>
      <c r="AR28" s="2" t="s">
        <v>107</v>
      </c>
      <c r="AS28" s="2" t="s">
        <v>80</v>
      </c>
      <c r="AT28" s="15"/>
      <c r="AU28" s="15"/>
      <c r="AV28" s="15"/>
      <c r="AW28" s="15"/>
    </row>
    <row r="29" spans="1:49" ht="22.5" customHeight="1" x14ac:dyDescent="0.2">
      <c r="A29" s="16">
        <v>45734.528970914354</v>
      </c>
      <c r="B29" s="5" t="s">
        <v>83</v>
      </c>
      <c r="D29" s="5" t="s">
        <v>86</v>
      </c>
      <c r="F29" s="5" t="s">
        <v>89</v>
      </c>
      <c r="G29" s="5" t="s">
        <v>90</v>
      </c>
      <c r="H29" s="5" t="s">
        <v>154</v>
      </c>
      <c r="I29" s="5">
        <v>2</v>
      </c>
      <c r="J29" s="5" t="s">
        <v>80</v>
      </c>
      <c r="K29" s="5" t="s">
        <v>80</v>
      </c>
      <c r="L29" s="5" t="s">
        <v>110</v>
      </c>
      <c r="M29" s="5" t="s">
        <v>111</v>
      </c>
      <c r="N29" s="5" t="s">
        <v>109</v>
      </c>
      <c r="O29" s="5" t="s">
        <v>80</v>
      </c>
      <c r="P29" s="5" t="s">
        <v>11</v>
      </c>
      <c r="Q29" s="5">
        <v>5</v>
      </c>
      <c r="R29" s="5">
        <v>8</v>
      </c>
      <c r="S29" s="5">
        <v>9</v>
      </c>
      <c r="T29" s="5">
        <v>7</v>
      </c>
      <c r="U29" s="5" t="s">
        <v>82</v>
      </c>
      <c r="Z29" s="5">
        <v>9</v>
      </c>
      <c r="AA29" s="5">
        <v>5</v>
      </c>
      <c r="AB29" s="5">
        <v>7</v>
      </c>
      <c r="AC29" s="5">
        <v>10</v>
      </c>
      <c r="AD29" s="5">
        <v>9</v>
      </c>
      <c r="AE29" s="5">
        <v>10</v>
      </c>
      <c r="AF29" s="5">
        <v>10</v>
      </c>
      <c r="AG29" s="5">
        <v>6</v>
      </c>
      <c r="AH29" s="5">
        <v>10</v>
      </c>
      <c r="AI29" s="5">
        <v>10</v>
      </c>
      <c r="AJ29" s="5">
        <v>7</v>
      </c>
      <c r="AK29" s="5" t="s">
        <v>34</v>
      </c>
      <c r="AL29" s="5" t="s">
        <v>80</v>
      </c>
      <c r="AM29" s="5" t="s">
        <v>80</v>
      </c>
      <c r="AN29" s="5" t="s">
        <v>239</v>
      </c>
      <c r="AO29" s="5" t="s">
        <v>104</v>
      </c>
      <c r="AP29" s="5">
        <v>40</v>
      </c>
      <c r="AQ29" s="5" t="s">
        <v>106</v>
      </c>
      <c r="AR29" s="5" t="s">
        <v>107</v>
      </c>
      <c r="AS29" s="5" t="s">
        <v>80</v>
      </c>
    </row>
    <row r="30" spans="1:49" ht="22.5" customHeight="1" x14ac:dyDescent="0.2">
      <c r="A30" s="16">
        <v>45734.50987086806</v>
      </c>
      <c r="B30" s="5" t="s">
        <v>83</v>
      </c>
      <c r="D30" s="5" t="s">
        <v>86</v>
      </c>
      <c r="F30" s="5" t="s">
        <v>89</v>
      </c>
      <c r="G30" s="5" t="s">
        <v>90</v>
      </c>
      <c r="H30" s="5" t="s">
        <v>154</v>
      </c>
      <c r="I30" s="5" t="s">
        <v>128</v>
      </c>
      <c r="J30" s="5" t="s">
        <v>82</v>
      </c>
      <c r="K30" s="5" t="s">
        <v>82</v>
      </c>
      <c r="L30" s="5" t="s">
        <v>102</v>
      </c>
      <c r="M30" s="5" t="s">
        <v>102</v>
      </c>
      <c r="N30" s="5" t="s">
        <v>102</v>
      </c>
      <c r="O30" s="5" t="s">
        <v>80</v>
      </c>
      <c r="P30" s="5" t="s">
        <v>7</v>
      </c>
      <c r="Q30" s="5">
        <v>5</v>
      </c>
      <c r="R30" s="5">
        <v>5</v>
      </c>
      <c r="S30" s="5">
        <v>5</v>
      </c>
      <c r="T30" s="5">
        <v>5</v>
      </c>
      <c r="U30" s="5" t="s">
        <v>82</v>
      </c>
      <c r="Z30" s="5">
        <v>7</v>
      </c>
      <c r="AA30" s="5">
        <v>10</v>
      </c>
      <c r="AB30" s="5">
        <v>10</v>
      </c>
      <c r="AC30" s="5">
        <v>10</v>
      </c>
      <c r="AD30" s="5">
        <v>10</v>
      </c>
      <c r="AE30" s="5">
        <v>7</v>
      </c>
      <c r="AF30" s="5">
        <v>10</v>
      </c>
      <c r="AG30" s="5">
        <v>10</v>
      </c>
      <c r="AH30" s="5">
        <v>7</v>
      </c>
      <c r="AI30" s="5">
        <v>9</v>
      </c>
      <c r="AJ30" s="5">
        <v>1</v>
      </c>
      <c r="AK30" s="5" t="s">
        <v>28</v>
      </c>
      <c r="AL30" s="5" t="s">
        <v>80</v>
      </c>
      <c r="AM30" s="5" t="s">
        <v>82</v>
      </c>
      <c r="AN30" s="5" t="s">
        <v>240</v>
      </c>
      <c r="AO30" s="5" t="s">
        <v>104</v>
      </c>
      <c r="AP30" s="5">
        <v>56</v>
      </c>
      <c r="AQ30" s="5" t="s">
        <v>191</v>
      </c>
      <c r="AR30" s="5" t="s">
        <v>107</v>
      </c>
      <c r="AS30" s="5" t="s">
        <v>82</v>
      </c>
      <c r="AT30" s="5" t="s">
        <v>241</v>
      </c>
      <c r="AU30" s="18"/>
      <c r="AV30" s="18"/>
      <c r="AW30" s="18"/>
    </row>
    <row r="31" spans="1:49" ht="22.5" customHeight="1" x14ac:dyDescent="0.2">
      <c r="A31" s="16">
        <v>45735.48025310185</v>
      </c>
      <c r="B31" s="5" t="s">
        <v>83</v>
      </c>
      <c r="D31" s="5" t="s">
        <v>86</v>
      </c>
      <c r="F31" s="5" t="s">
        <v>89</v>
      </c>
      <c r="G31" s="5" t="s">
        <v>90</v>
      </c>
      <c r="H31" s="5" t="s">
        <v>154</v>
      </c>
      <c r="I31" s="5">
        <v>2</v>
      </c>
      <c r="J31" s="5" t="s">
        <v>82</v>
      </c>
      <c r="K31" s="5" t="s">
        <v>192</v>
      </c>
      <c r="L31" s="5" t="s">
        <v>110</v>
      </c>
      <c r="M31" s="5" t="s">
        <v>144</v>
      </c>
      <c r="N31" s="5" t="s">
        <v>75</v>
      </c>
      <c r="O31" s="5" t="s">
        <v>82</v>
      </c>
      <c r="U31" s="5" t="s">
        <v>80</v>
      </c>
      <c r="V31" s="5">
        <v>5</v>
      </c>
      <c r="W31" s="5">
        <v>5</v>
      </c>
      <c r="X31" s="5">
        <v>5</v>
      </c>
      <c r="Y31" s="5">
        <v>6</v>
      </c>
      <c r="Z31" s="5">
        <v>10</v>
      </c>
      <c r="AA31" s="5">
        <v>3</v>
      </c>
      <c r="AB31" s="5">
        <v>6</v>
      </c>
      <c r="AC31" s="5">
        <v>5</v>
      </c>
      <c r="AD31" s="5">
        <v>5</v>
      </c>
      <c r="AE31" s="5">
        <v>5</v>
      </c>
      <c r="AF31" s="5">
        <v>5</v>
      </c>
      <c r="AG31" s="5">
        <v>5</v>
      </c>
      <c r="AH31" s="5">
        <v>5</v>
      </c>
      <c r="AI31" s="5">
        <v>7</v>
      </c>
      <c r="AJ31" s="5">
        <v>0</v>
      </c>
      <c r="AK31" s="5">
        <v>0</v>
      </c>
      <c r="AL31" s="5" t="s">
        <v>82</v>
      </c>
      <c r="AM31" s="5" t="s">
        <v>82</v>
      </c>
      <c r="AN31" s="5" t="s">
        <v>242</v>
      </c>
      <c r="AO31" s="5" t="s">
        <v>104</v>
      </c>
      <c r="AP31" s="5">
        <v>29</v>
      </c>
      <c r="AQ31" s="5" t="s">
        <v>119</v>
      </c>
      <c r="AR31" s="5" t="s">
        <v>174</v>
      </c>
      <c r="AS31" s="5" t="s">
        <v>80</v>
      </c>
      <c r="AU31" s="5" t="s">
        <v>243</v>
      </c>
      <c r="AV31" s="5">
        <v>5</v>
      </c>
    </row>
    <row r="32" spans="1:49" ht="22.5" customHeight="1" x14ac:dyDescent="0.2">
      <c r="A32" s="16">
        <v>45735.50750122685</v>
      </c>
      <c r="B32" s="5" t="s">
        <v>137</v>
      </c>
      <c r="C32" s="5" t="s">
        <v>138</v>
      </c>
      <c r="D32" s="5" t="s">
        <v>146</v>
      </c>
      <c r="E32" s="5" t="s">
        <v>244</v>
      </c>
      <c r="F32" s="5" t="s">
        <v>121</v>
      </c>
      <c r="G32" s="5" t="s">
        <v>90</v>
      </c>
      <c r="H32" s="5" t="s">
        <v>154</v>
      </c>
      <c r="I32" s="5">
        <v>4</v>
      </c>
      <c r="J32" s="5" t="s">
        <v>82</v>
      </c>
      <c r="K32" s="5" t="s">
        <v>194</v>
      </c>
      <c r="L32" s="5" t="s">
        <v>75</v>
      </c>
      <c r="M32" s="5" t="s">
        <v>113</v>
      </c>
      <c r="N32" s="5" t="s">
        <v>75</v>
      </c>
      <c r="O32" s="5" t="s">
        <v>82</v>
      </c>
      <c r="U32" s="5" t="s">
        <v>82</v>
      </c>
      <c r="Z32" s="5">
        <v>10</v>
      </c>
      <c r="AA32" s="5">
        <v>10</v>
      </c>
      <c r="AB32" s="5">
        <v>10</v>
      </c>
      <c r="AC32" s="5">
        <v>10</v>
      </c>
      <c r="AD32" s="5">
        <v>3</v>
      </c>
      <c r="AE32" s="5">
        <v>3</v>
      </c>
      <c r="AF32" s="5">
        <v>10</v>
      </c>
      <c r="AG32" s="5">
        <v>9</v>
      </c>
      <c r="AH32" s="5">
        <v>8</v>
      </c>
      <c r="AI32" s="5">
        <v>10</v>
      </c>
      <c r="AJ32" s="5">
        <v>1</v>
      </c>
      <c r="AK32" s="5" t="s">
        <v>9</v>
      </c>
      <c r="AL32" s="5" t="s">
        <v>80</v>
      </c>
      <c r="AM32" s="5" t="s">
        <v>80</v>
      </c>
      <c r="AN32" s="5" t="s">
        <v>245</v>
      </c>
      <c r="AO32" s="5" t="s">
        <v>104</v>
      </c>
      <c r="AP32" s="5">
        <v>46</v>
      </c>
      <c r="AQ32" s="5" t="s">
        <v>106</v>
      </c>
      <c r="AR32" s="5" t="s">
        <v>107</v>
      </c>
      <c r="AS32" s="5" t="s">
        <v>80</v>
      </c>
      <c r="AU32" s="5" t="s">
        <v>246</v>
      </c>
    </row>
    <row r="33" spans="1:48" ht="22.5" customHeight="1" x14ac:dyDescent="0.2">
      <c r="A33" s="16">
        <v>45734.718563402777</v>
      </c>
      <c r="B33" s="5" t="s">
        <v>83</v>
      </c>
      <c r="D33" s="5" t="s">
        <v>149</v>
      </c>
      <c r="E33" s="5" t="s">
        <v>153</v>
      </c>
      <c r="F33" s="5" t="s">
        <v>89</v>
      </c>
      <c r="G33" s="5" t="s">
        <v>90</v>
      </c>
      <c r="H33" s="5" t="s">
        <v>135</v>
      </c>
      <c r="I33" s="5">
        <v>5</v>
      </c>
      <c r="J33" s="5" t="s">
        <v>82</v>
      </c>
      <c r="K33" s="5" t="s">
        <v>82</v>
      </c>
      <c r="L33" s="5" t="s">
        <v>75</v>
      </c>
      <c r="M33" s="5" t="s">
        <v>75</v>
      </c>
      <c r="N33" s="5" t="s">
        <v>75</v>
      </c>
      <c r="O33" s="5" t="s">
        <v>82</v>
      </c>
      <c r="U33" s="5" t="s">
        <v>82</v>
      </c>
      <c r="Z33" s="5">
        <v>10</v>
      </c>
      <c r="AA33" s="5">
        <v>10</v>
      </c>
      <c r="AB33" s="5">
        <v>10</v>
      </c>
      <c r="AC33" s="5">
        <v>10</v>
      </c>
      <c r="AD33" s="5">
        <v>9</v>
      </c>
      <c r="AE33" s="5">
        <v>9</v>
      </c>
      <c r="AF33" s="5">
        <v>10</v>
      </c>
      <c r="AG33" s="5">
        <v>10</v>
      </c>
      <c r="AH33" s="5">
        <v>10</v>
      </c>
      <c r="AI33" s="5">
        <v>10</v>
      </c>
      <c r="AJ33" s="5">
        <v>2</v>
      </c>
      <c r="AK33" s="5" t="s">
        <v>81</v>
      </c>
      <c r="AL33" s="5" t="s">
        <v>80</v>
      </c>
      <c r="AM33" s="5" t="s">
        <v>80</v>
      </c>
      <c r="AN33" s="5" t="s">
        <v>247</v>
      </c>
      <c r="AO33" s="5" t="s">
        <v>104</v>
      </c>
      <c r="AP33" s="5">
        <v>28</v>
      </c>
      <c r="AQ33" s="5" t="s">
        <v>106</v>
      </c>
      <c r="AR33" s="5" t="s">
        <v>174</v>
      </c>
      <c r="AS33" s="5" t="s">
        <v>80</v>
      </c>
      <c r="AU33" s="5" t="s">
        <v>248</v>
      </c>
    </row>
    <row r="34" spans="1:48" ht="22.5" customHeight="1" x14ac:dyDescent="0.2">
      <c r="A34" s="16">
        <v>45735.659360347221</v>
      </c>
      <c r="B34" s="5" t="s">
        <v>83</v>
      </c>
      <c r="D34" s="5" t="s">
        <v>86</v>
      </c>
      <c r="F34" s="5" t="s">
        <v>89</v>
      </c>
      <c r="G34" s="5" t="s">
        <v>90</v>
      </c>
      <c r="H34" s="5" t="s">
        <v>135</v>
      </c>
      <c r="I34" s="5">
        <v>3</v>
      </c>
      <c r="J34" s="5" t="s">
        <v>80</v>
      </c>
      <c r="K34" s="5" t="s">
        <v>80</v>
      </c>
      <c r="L34" s="5" t="s">
        <v>75</v>
      </c>
      <c r="M34" s="5" t="s">
        <v>75</v>
      </c>
      <c r="N34" s="5" t="s">
        <v>75</v>
      </c>
      <c r="O34" s="5" t="s">
        <v>82</v>
      </c>
      <c r="U34" s="5" t="s">
        <v>82</v>
      </c>
      <c r="Z34" s="5">
        <v>7</v>
      </c>
      <c r="AA34" s="5">
        <v>7</v>
      </c>
      <c r="AB34" s="5">
        <v>9</v>
      </c>
      <c r="AC34" s="5">
        <v>1</v>
      </c>
      <c r="AD34" s="5">
        <v>8</v>
      </c>
      <c r="AE34" s="5">
        <v>8</v>
      </c>
      <c r="AF34" s="5">
        <v>9</v>
      </c>
      <c r="AG34" s="5">
        <v>8</v>
      </c>
      <c r="AH34" s="5">
        <v>9</v>
      </c>
      <c r="AI34" s="5">
        <v>6</v>
      </c>
      <c r="AJ34" s="5">
        <v>1</v>
      </c>
      <c r="AK34" s="5" t="s">
        <v>54</v>
      </c>
      <c r="AL34" s="5" t="s">
        <v>80</v>
      </c>
      <c r="AM34" s="5" t="s">
        <v>80</v>
      </c>
      <c r="AN34" s="5" t="s">
        <v>249</v>
      </c>
      <c r="AO34" s="5" t="s">
        <v>104</v>
      </c>
      <c r="AP34" s="5">
        <v>30</v>
      </c>
      <c r="AQ34" s="5" t="s">
        <v>106</v>
      </c>
      <c r="AR34" s="5" t="s">
        <v>174</v>
      </c>
      <c r="AS34" s="5" t="s">
        <v>80</v>
      </c>
      <c r="AU34" s="5" t="s">
        <v>250</v>
      </c>
    </row>
    <row r="35" spans="1:48" ht="22.5" customHeight="1" x14ac:dyDescent="0.2">
      <c r="A35" s="16">
        <v>45734.702958009264</v>
      </c>
      <c r="B35" s="5" t="s">
        <v>137</v>
      </c>
      <c r="C35" s="5" t="s">
        <v>139</v>
      </c>
      <c r="D35" s="5" t="s">
        <v>86</v>
      </c>
      <c r="F35" s="5" t="s">
        <v>121</v>
      </c>
      <c r="G35" s="5" t="s">
        <v>90</v>
      </c>
      <c r="H35" s="5" t="s">
        <v>154</v>
      </c>
      <c r="I35" s="5">
        <v>5</v>
      </c>
      <c r="J35" s="5" t="s">
        <v>80</v>
      </c>
      <c r="K35" s="5" t="s">
        <v>80</v>
      </c>
      <c r="L35" s="5" t="s">
        <v>75</v>
      </c>
      <c r="M35" s="5" t="s">
        <v>75</v>
      </c>
      <c r="N35" s="5" t="s">
        <v>75</v>
      </c>
      <c r="O35" s="5" t="s">
        <v>82</v>
      </c>
      <c r="U35" s="5" t="s">
        <v>82</v>
      </c>
      <c r="Z35" s="5">
        <v>10</v>
      </c>
      <c r="AA35" s="5">
        <v>10</v>
      </c>
      <c r="AB35" s="5">
        <v>10</v>
      </c>
      <c r="AC35" s="5">
        <v>10</v>
      </c>
      <c r="AD35" s="5">
        <v>9</v>
      </c>
      <c r="AE35" s="5">
        <v>8</v>
      </c>
      <c r="AF35" s="5">
        <v>3</v>
      </c>
      <c r="AG35" s="5">
        <v>3</v>
      </c>
      <c r="AH35" s="5">
        <v>5</v>
      </c>
      <c r="AI35" s="5">
        <v>10</v>
      </c>
      <c r="AJ35" s="5">
        <v>0</v>
      </c>
      <c r="AK35" s="5">
        <v>0</v>
      </c>
      <c r="AL35" s="5" t="s">
        <v>82</v>
      </c>
      <c r="AM35" s="5" t="s">
        <v>82</v>
      </c>
      <c r="AN35" s="5" t="s">
        <v>251</v>
      </c>
      <c r="AO35" s="5" t="s">
        <v>104</v>
      </c>
      <c r="AP35" s="5">
        <v>55</v>
      </c>
      <c r="AQ35" s="5" t="s">
        <v>119</v>
      </c>
      <c r="AR35" s="5" t="s">
        <v>107</v>
      </c>
      <c r="AS35" s="5" t="s">
        <v>80</v>
      </c>
      <c r="AU35" s="5" t="s">
        <v>252</v>
      </c>
    </row>
    <row r="36" spans="1:48" ht="22.5" customHeight="1" x14ac:dyDescent="0.2">
      <c r="A36" s="16">
        <v>45735.644584699075</v>
      </c>
      <c r="B36" s="5" t="s">
        <v>137</v>
      </c>
      <c r="C36" s="5" t="s">
        <v>143</v>
      </c>
      <c r="E36" s="5" t="s">
        <v>253</v>
      </c>
      <c r="F36" s="5" t="s">
        <v>121</v>
      </c>
      <c r="G36" s="5" t="s">
        <v>90</v>
      </c>
      <c r="H36" s="5" t="s">
        <v>154</v>
      </c>
      <c r="I36" s="5">
        <v>15</v>
      </c>
      <c r="J36" s="5" t="s">
        <v>82</v>
      </c>
      <c r="K36" s="5" t="s">
        <v>82</v>
      </c>
      <c r="L36" s="5" t="s">
        <v>75</v>
      </c>
      <c r="M36" s="5" t="s">
        <v>113</v>
      </c>
      <c r="N36" s="5" t="s">
        <v>75</v>
      </c>
      <c r="O36" s="5" t="s">
        <v>82</v>
      </c>
      <c r="U36" s="5" t="s">
        <v>82</v>
      </c>
      <c r="Z36" s="5">
        <v>9</v>
      </c>
      <c r="AA36" s="5">
        <v>9</v>
      </c>
      <c r="AB36" s="5">
        <v>9</v>
      </c>
      <c r="AC36" s="5">
        <v>8</v>
      </c>
      <c r="AD36" s="5">
        <v>3</v>
      </c>
      <c r="AE36" s="5">
        <v>5</v>
      </c>
      <c r="AF36" s="5">
        <v>8</v>
      </c>
      <c r="AG36" s="5">
        <v>8</v>
      </c>
      <c r="AH36" s="5">
        <v>5</v>
      </c>
      <c r="AI36" s="5">
        <v>5</v>
      </c>
      <c r="AJ36" s="5">
        <v>0</v>
      </c>
      <c r="AK36" s="5">
        <v>0</v>
      </c>
      <c r="AL36" s="5" t="s">
        <v>82</v>
      </c>
      <c r="AM36" s="5" t="s">
        <v>82</v>
      </c>
      <c r="AN36" s="5" t="s">
        <v>254</v>
      </c>
      <c r="AO36" s="5" t="s">
        <v>104</v>
      </c>
      <c r="AP36" s="5">
        <v>43</v>
      </c>
      <c r="AQ36" s="5" t="s">
        <v>191</v>
      </c>
      <c r="AR36" s="5" t="s">
        <v>107</v>
      </c>
      <c r="AS36" s="5" t="s">
        <v>82</v>
      </c>
      <c r="AU36" s="5" t="s">
        <v>255</v>
      </c>
    </row>
    <row r="37" spans="1:48" ht="22.5" customHeight="1" x14ac:dyDescent="0.2">
      <c r="A37" s="16">
        <v>45734.694377731481</v>
      </c>
      <c r="B37" s="5" t="s">
        <v>83</v>
      </c>
      <c r="D37" s="5" t="s">
        <v>86</v>
      </c>
      <c r="F37" s="5" t="s">
        <v>89</v>
      </c>
      <c r="G37" s="5" t="s">
        <v>90</v>
      </c>
      <c r="H37" s="5" t="s">
        <v>154</v>
      </c>
      <c r="I37" s="5">
        <v>5</v>
      </c>
      <c r="J37" s="5" t="s">
        <v>80</v>
      </c>
      <c r="K37" s="5" t="s">
        <v>190</v>
      </c>
      <c r="L37" s="5" t="s">
        <v>110</v>
      </c>
      <c r="M37" s="5" t="s">
        <v>75</v>
      </c>
      <c r="N37" s="5" t="s">
        <v>75</v>
      </c>
      <c r="O37" s="5" t="s">
        <v>82</v>
      </c>
      <c r="U37" s="5" t="s">
        <v>82</v>
      </c>
      <c r="Z37" s="5">
        <v>8</v>
      </c>
      <c r="AA37" s="5">
        <v>8</v>
      </c>
      <c r="AB37" s="5">
        <v>8</v>
      </c>
      <c r="AC37" s="5">
        <v>10</v>
      </c>
      <c r="AD37" s="5">
        <v>7</v>
      </c>
      <c r="AE37" s="5">
        <v>7</v>
      </c>
      <c r="AF37" s="5">
        <v>10</v>
      </c>
      <c r="AG37" s="5">
        <v>7</v>
      </c>
      <c r="AH37" s="5">
        <v>8</v>
      </c>
      <c r="AI37" s="5">
        <v>10</v>
      </c>
      <c r="AJ37" s="5">
        <v>1</v>
      </c>
      <c r="AK37" s="5" t="s">
        <v>54</v>
      </c>
      <c r="AL37" s="5" t="s">
        <v>80</v>
      </c>
      <c r="AM37" s="5" t="s">
        <v>80</v>
      </c>
      <c r="AN37" s="5" t="s">
        <v>256</v>
      </c>
      <c r="AO37" s="5" t="s">
        <v>104</v>
      </c>
      <c r="AP37" s="5">
        <v>38</v>
      </c>
      <c r="AQ37" s="5" t="s">
        <v>106</v>
      </c>
      <c r="AR37" s="5" t="s">
        <v>107</v>
      </c>
      <c r="AS37" s="5" t="s">
        <v>82</v>
      </c>
      <c r="AU37" s="5" t="s">
        <v>257</v>
      </c>
    </row>
    <row r="38" spans="1:48" ht="22.5" customHeight="1" x14ac:dyDescent="0.2">
      <c r="A38" s="16">
        <v>45734.567059131943</v>
      </c>
      <c r="B38" s="5" t="s">
        <v>83</v>
      </c>
      <c r="D38" s="5" t="s">
        <v>86</v>
      </c>
      <c r="F38" s="5" t="s">
        <v>89</v>
      </c>
      <c r="G38" s="5" t="s">
        <v>90</v>
      </c>
      <c r="H38" s="5" t="s">
        <v>154</v>
      </c>
      <c r="I38" s="5">
        <v>4</v>
      </c>
      <c r="J38" s="5" t="s">
        <v>80</v>
      </c>
      <c r="K38" s="5" t="s">
        <v>80</v>
      </c>
      <c r="L38" s="5" t="s">
        <v>75</v>
      </c>
      <c r="M38" s="5" t="s">
        <v>75</v>
      </c>
      <c r="N38" s="5" t="s">
        <v>109</v>
      </c>
      <c r="O38" s="5" t="s">
        <v>82</v>
      </c>
      <c r="U38" s="5" t="s">
        <v>80</v>
      </c>
      <c r="V38" s="5" t="s">
        <v>258</v>
      </c>
      <c r="W38" s="5">
        <v>10</v>
      </c>
      <c r="X38" s="5">
        <v>3</v>
      </c>
      <c r="Y38" s="5">
        <v>10</v>
      </c>
      <c r="Z38" s="5">
        <v>10</v>
      </c>
      <c r="AA38" s="5">
        <v>10</v>
      </c>
      <c r="AB38" s="5">
        <v>10</v>
      </c>
      <c r="AC38" s="5">
        <v>10</v>
      </c>
      <c r="AD38" s="5">
        <v>10</v>
      </c>
      <c r="AE38" s="5">
        <v>10</v>
      </c>
      <c r="AF38" s="5">
        <v>10</v>
      </c>
      <c r="AG38" s="5">
        <v>10</v>
      </c>
      <c r="AH38" s="5">
        <v>10</v>
      </c>
      <c r="AI38" s="5">
        <v>10</v>
      </c>
      <c r="AJ38" s="5">
        <v>2</v>
      </c>
      <c r="AK38" s="5">
        <v>2</v>
      </c>
      <c r="AL38" s="5" t="s">
        <v>80</v>
      </c>
      <c r="AM38" s="5" t="s">
        <v>80</v>
      </c>
      <c r="AN38" s="5" t="s">
        <v>236</v>
      </c>
      <c r="AO38" s="5" t="s">
        <v>104</v>
      </c>
      <c r="AP38" s="5" t="s">
        <v>208</v>
      </c>
      <c r="AQ38" s="5" t="s">
        <v>119</v>
      </c>
      <c r="AR38" s="5" t="s">
        <v>107</v>
      </c>
      <c r="AS38" s="5" t="s">
        <v>80</v>
      </c>
      <c r="AU38" s="5" t="s">
        <v>259</v>
      </c>
      <c r="AV38" s="18"/>
    </row>
    <row r="39" spans="1:48" ht="22.5" customHeight="1" x14ac:dyDescent="0.2">
      <c r="A39" s="16">
        <v>45734.710000219908</v>
      </c>
      <c r="B39" s="5" t="s">
        <v>83</v>
      </c>
      <c r="D39" s="5" t="s">
        <v>86</v>
      </c>
      <c r="F39" s="5" t="s">
        <v>89</v>
      </c>
      <c r="G39" s="5" t="s">
        <v>90</v>
      </c>
      <c r="H39" s="5" t="s">
        <v>154</v>
      </c>
      <c r="I39" s="5">
        <v>3</v>
      </c>
      <c r="J39" s="5" t="s">
        <v>80</v>
      </c>
      <c r="K39" s="5" t="s">
        <v>82</v>
      </c>
      <c r="L39" s="5" t="s">
        <v>140</v>
      </c>
      <c r="M39" s="5" t="s">
        <v>75</v>
      </c>
      <c r="N39" s="5" t="s">
        <v>75</v>
      </c>
      <c r="O39" s="5" t="s">
        <v>82</v>
      </c>
      <c r="U39" s="5" t="s">
        <v>82</v>
      </c>
      <c r="Z39" s="5">
        <v>10</v>
      </c>
      <c r="AA39" s="5">
        <v>10</v>
      </c>
      <c r="AB39" s="5">
        <v>10</v>
      </c>
      <c r="AC39" s="5">
        <v>10</v>
      </c>
      <c r="AD39" s="5">
        <v>10</v>
      </c>
      <c r="AE39" s="5">
        <v>10</v>
      </c>
      <c r="AF39" s="5">
        <v>10</v>
      </c>
      <c r="AG39" s="5">
        <v>7</v>
      </c>
      <c r="AH39" s="5">
        <v>5</v>
      </c>
      <c r="AI39" s="5">
        <v>10</v>
      </c>
      <c r="AJ39" s="5">
        <v>0</v>
      </c>
      <c r="AK39" s="5">
        <v>0</v>
      </c>
      <c r="AL39" s="5" t="s">
        <v>80</v>
      </c>
      <c r="AM39" s="5" t="s">
        <v>80</v>
      </c>
      <c r="AN39" s="5" t="s">
        <v>260</v>
      </c>
      <c r="AO39" s="5" t="s">
        <v>104</v>
      </c>
      <c r="AP39" s="5">
        <v>36</v>
      </c>
      <c r="AQ39" s="5" t="s">
        <v>106</v>
      </c>
      <c r="AR39" s="5" t="s">
        <v>107</v>
      </c>
      <c r="AS39" s="5" t="s">
        <v>80</v>
      </c>
      <c r="AT39" s="5" t="s">
        <v>261</v>
      </c>
      <c r="AU39" s="5" t="s">
        <v>262</v>
      </c>
    </row>
    <row r="40" spans="1:48" ht="22.5" customHeight="1" x14ac:dyDescent="0.2">
      <c r="A40" s="16">
        <v>45735.509776331019</v>
      </c>
      <c r="B40" s="5" t="s">
        <v>136</v>
      </c>
      <c r="D40" s="5" t="s">
        <v>146</v>
      </c>
      <c r="E40" s="5" t="s">
        <v>153</v>
      </c>
      <c r="F40" s="5" t="s">
        <v>121</v>
      </c>
      <c r="G40" s="5" t="s">
        <v>90</v>
      </c>
      <c r="H40" s="5" t="s">
        <v>135</v>
      </c>
      <c r="I40" s="5">
        <v>3</v>
      </c>
      <c r="J40" s="5" t="s">
        <v>82</v>
      </c>
      <c r="K40" s="5" t="s">
        <v>82</v>
      </c>
      <c r="L40" s="5" t="s">
        <v>75</v>
      </c>
      <c r="M40" s="5" t="s">
        <v>75</v>
      </c>
      <c r="N40" s="5" t="s">
        <v>75</v>
      </c>
      <c r="O40" s="5" t="s">
        <v>82</v>
      </c>
      <c r="U40" s="5" t="s">
        <v>82</v>
      </c>
      <c r="Z40" s="5">
        <v>7</v>
      </c>
      <c r="AA40" s="5">
        <v>7</v>
      </c>
      <c r="AB40" s="5">
        <v>7</v>
      </c>
      <c r="AC40" s="5">
        <v>9</v>
      </c>
      <c r="AD40" s="5">
        <v>10</v>
      </c>
      <c r="AE40" s="5">
        <v>10</v>
      </c>
      <c r="AF40" s="5">
        <v>10</v>
      </c>
      <c r="AG40" s="5">
        <v>10</v>
      </c>
      <c r="AH40" s="5">
        <v>10</v>
      </c>
      <c r="AI40" s="5">
        <v>10</v>
      </c>
      <c r="AJ40" s="5">
        <v>0</v>
      </c>
      <c r="AK40" s="5">
        <v>0</v>
      </c>
      <c r="AL40" s="5" t="s">
        <v>80</v>
      </c>
      <c r="AM40" s="5" t="s">
        <v>80</v>
      </c>
      <c r="AN40" s="5" t="s">
        <v>263</v>
      </c>
      <c r="AO40" s="5" t="s">
        <v>104</v>
      </c>
      <c r="AP40" s="5" t="s">
        <v>264</v>
      </c>
      <c r="AQ40" s="5" t="s">
        <v>119</v>
      </c>
      <c r="AR40" s="5" t="s">
        <v>107</v>
      </c>
      <c r="AS40" s="5" t="s">
        <v>80</v>
      </c>
      <c r="AU40" s="5" t="s">
        <v>265</v>
      </c>
    </row>
    <row r="41" spans="1:48" ht="22.5" customHeight="1" x14ac:dyDescent="0.2">
      <c r="A41" s="16">
        <v>45734.599580462964</v>
      </c>
      <c r="B41" s="5" t="s">
        <v>83</v>
      </c>
      <c r="D41" s="5" t="s">
        <v>86</v>
      </c>
      <c r="F41" s="5" t="s">
        <v>89</v>
      </c>
      <c r="G41" s="5" t="s">
        <v>90</v>
      </c>
      <c r="H41" s="5" t="s">
        <v>91</v>
      </c>
      <c r="I41" s="5">
        <v>5</v>
      </c>
      <c r="J41" s="5" t="s">
        <v>80</v>
      </c>
      <c r="K41" s="5" t="s">
        <v>82</v>
      </c>
      <c r="L41" s="5" t="s">
        <v>75</v>
      </c>
      <c r="M41" s="5" t="s">
        <v>75</v>
      </c>
      <c r="N41" s="5" t="s">
        <v>85</v>
      </c>
      <c r="O41" s="5" t="s">
        <v>82</v>
      </c>
      <c r="U41" s="5" t="s">
        <v>82</v>
      </c>
      <c r="Z41" s="5">
        <v>10</v>
      </c>
      <c r="AA41" s="5">
        <v>8</v>
      </c>
      <c r="AB41" s="5">
        <v>8</v>
      </c>
      <c r="AC41" s="5">
        <v>10</v>
      </c>
      <c r="AD41" s="5">
        <v>10</v>
      </c>
      <c r="AE41" s="5">
        <v>5</v>
      </c>
      <c r="AF41" s="5">
        <v>10</v>
      </c>
      <c r="AG41" s="5">
        <v>9</v>
      </c>
      <c r="AH41" s="5">
        <v>5</v>
      </c>
      <c r="AI41" s="5">
        <v>5</v>
      </c>
      <c r="AJ41" s="5">
        <v>1</v>
      </c>
      <c r="AK41" s="5" t="s">
        <v>54</v>
      </c>
      <c r="AL41" s="5" t="s">
        <v>82</v>
      </c>
      <c r="AM41" s="5" t="s">
        <v>80</v>
      </c>
      <c r="AN41" s="5" t="s">
        <v>266</v>
      </c>
      <c r="AO41" s="5" t="s">
        <v>104</v>
      </c>
      <c r="AP41" s="5">
        <v>35</v>
      </c>
      <c r="AQ41" s="5" t="s">
        <v>106</v>
      </c>
      <c r="AR41" s="5" t="s">
        <v>107</v>
      </c>
      <c r="AS41" s="5" t="s">
        <v>80</v>
      </c>
      <c r="AT41" s="5" t="s">
        <v>267</v>
      </c>
      <c r="AU41" s="5" t="s">
        <v>229</v>
      </c>
      <c r="AV41" s="18"/>
    </row>
    <row r="42" spans="1:48" ht="22.5" customHeight="1" x14ac:dyDescent="0.2">
      <c r="A42" s="16">
        <v>45734.605054699074</v>
      </c>
      <c r="B42" s="5" t="s">
        <v>83</v>
      </c>
      <c r="D42" s="5" t="s">
        <v>86</v>
      </c>
      <c r="F42" s="5" t="s">
        <v>89</v>
      </c>
      <c r="G42" s="5" t="s">
        <v>90</v>
      </c>
      <c r="H42" s="5" t="s">
        <v>91</v>
      </c>
      <c r="I42" s="5">
        <v>2</v>
      </c>
      <c r="J42" s="5" t="s">
        <v>80</v>
      </c>
      <c r="K42" s="5" t="s">
        <v>186</v>
      </c>
      <c r="L42" s="5" t="s">
        <v>75</v>
      </c>
      <c r="M42" s="5" t="s">
        <v>75</v>
      </c>
      <c r="N42" s="5" t="s">
        <v>85</v>
      </c>
      <c r="O42" s="5" t="s">
        <v>82</v>
      </c>
      <c r="U42" s="5" t="s">
        <v>82</v>
      </c>
      <c r="Z42" s="5">
        <v>9</v>
      </c>
      <c r="AA42" s="5">
        <v>9</v>
      </c>
      <c r="AB42" s="5">
        <v>10</v>
      </c>
      <c r="AC42" s="5">
        <v>10</v>
      </c>
      <c r="AD42" s="5">
        <v>10</v>
      </c>
      <c r="AE42" s="5">
        <v>8</v>
      </c>
      <c r="AF42" s="5">
        <v>10</v>
      </c>
      <c r="AG42" s="5">
        <v>6</v>
      </c>
      <c r="AH42" s="5">
        <v>8</v>
      </c>
      <c r="AI42" s="5">
        <v>10</v>
      </c>
      <c r="AJ42" s="5">
        <v>2</v>
      </c>
      <c r="AK42" s="5" t="s">
        <v>64</v>
      </c>
      <c r="AL42" s="5" t="s">
        <v>82</v>
      </c>
      <c r="AM42" s="5" t="s">
        <v>80</v>
      </c>
      <c r="AN42" s="5" t="s">
        <v>268</v>
      </c>
      <c r="AO42" s="5" t="s">
        <v>104</v>
      </c>
      <c r="AP42" s="5">
        <v>35</v>
      </c>
      <c r="AQ42" s="5" t="s">
        <v>106</v>
      </c>
      <c r="AR42" s="5" t="s">
        <v>107</v>
      </c>
      <c r="AS42" s="5" t="s">
        <v>80</v>
      </c>
      <c r="AU42" s="5" t="s">
        <v>229</v>
      </c>
      <c r="AV42" s="18"/>
    </row>
    <row r="43" spans="1:48" ht="22.5" customHeight="1" x14ac:dyDescent="0.2">
      <c r="A43" s="16">
        <v>45734.629609247684</v>
      </c>
      <c r="B43" s="5" t="s">
        <v>83</v>
      </c>
      <c r="D43" s="5" t="s">
        <v>86</v>
      </c>
      <c r="F43" s="5" t="s">
        <v>89</v>
      </c>
      <c r="G43" s="5" t="s">
        <v>90</v>
      </c>
      <c r="H43" s="5" t="s">
        <v>91</v>
      </c>
      <c r="I43" s="5">
        <v>3</v>
      </c>
      <c r="J43" s="5" t="s">
        <v>82</v>
      </c>
      <c r="K43" s="5" t="s">
        <v>82</v>
      </c>
      <c r="L43" s="5" t="s">
        <v>75</v>
      </c>
      <c r="M43" s="5" t="s">
        <v>75</v>
      </c>
      <c r="N43" s="5" t="s">
        <v>75</v>
      </c>
      <c r="O43" s="5" t="s">
        <v>82</v>
      </c>
      <c r="U43" s="5" t="s">
        <v>82</v>
      </c>
      <c r="Z43" s="5">
        <v>10</v>
      </c>
      <c r="AA43" s="5">
        <v>10</v>
      </c>
      <c r="AB43" s="5">
        <v>10</v>
      </c>
      <c r="AC43" s="5">
        <v>4</v>
      </c>
      <c r="AD43" s="5">
        <v>8</v>
      </c>
      <c r="AE43" s="5">
        <v>5</v>
      </c>
      <c r="AF43" s="5">
        <v>9</v>
      </c>
      <c r="AG43" s="5">
        <v>8</v>
      </c>
      <c r="AH43" s="5">
        <v>10</v>
      </c>
      <c r="AI43" s="5">
        <v>10</v>
      </c>
      <c r="AJ43" s="5">
        <v>0</v>
      </c>
      <c r="AK43" s="5">
        <v>0</v>
      </c>
      <c r="AL43" s="5" t="s">
        <v>80</v>
      </c>
      <c r="AM43" s="5" t="s">
        <v>80</v>
      </c>
      <c r="AN43" s="5" t="s">
        <v>269</v>
      </c>
      <c r="AO43" s="5" t="s">
        <v>104</v>
      </c>
      <c r="AP43" s="5">
        <v>39</v>
      </c>
      <c r="AQ43" s="5" t="s">
        <v>119</v>
      </c>
      <c r="AR43" s="5" t="s">
        <v>107</v>
      </c>
      <c r="AS43" s="5" t="s">
        <v>80</v>
      </c>
      <c r="AT43" s="5" t="s">
        <v>270</v>
      </c>
      <c r="AU43" s="5" t="s">
        <v>229</v>
      </c>
      <c r="AV43" s="18"/>
    </row>
    <row r="44" spans="1:48" ht="22.5" customHeight="1" x14ac:dyDescent="0.2">
      <c r="A44" s="16">
        <v>45734.568440300922</v>
      </c>
      <c r="B44" s="5" t="s">
        <v>83</v>
      </c>
      <c r="D44" s="5" t="s">
        <v>86</v>
      </c>
      <c r="F44" s="5" t="s">
        <v>89</v>
      </c>
      <c r="G44" s="5" t="s">
        <v>90</v>
      </c>
      <c r="H44" s="5" t="s">
        <v>91</v>
      </c>
      <c r="I44" s="5">
        <v>1</v>
      </c>
      <c r="J44" s="5" t="s">
        <v>80</v>
      </c>
      <c r="K44" s="5" t="s">
        <v>183</v>
      </c>
      <c r="L44" s="5" t="s">
        <v>117</v>
      </c>
      <c r="M44" s="5" t="s">
        <v>75</v>
      </c>
      <c r="N44" s="5" t="s">
        <v>85</v>
      </c>
      <c r="O44" s="5" t="s">
        <v>82</v>
      </c>
      <c r="U44" s="5" t="s">
        <v>82</v>
      </c>
      <c r="Z44" s="5">
        <v>10</v>
      </c>
      <c r="AA44" s="5">
        <v>10</v>
      </c>
      <c r="AB44" s="5">
        <v>10</v>
      </c>
      <c r="AC44" s="5">
        <v>10</v>
      </c>
      <c r="AD44" s="5">
        <v>10</v>
      </c>
      <c r="AE44" s="5">
        <v>10</v>
      </c>
      <c r="AF44" s="5">
        <v>10</v>
      </c>
      <c r="AG44" s="5">
        <v>10</v>
      </c>
      <c r="AH44" s="5">
        <v>8</v>
      </c>
      <c r="AI44" s="5">
        <v>10</v>
      </c>
      <c r="AJ44" s="5">
        <v>1</v>
      </c>
      <c r="AK44" s="5" t="s">
        <v>14</v>
      </c>
      <c r="AL44" s="5" t="s">
        <v>80</v>
      </c>
      <c r="AM44" s="5" t="s">
        <v>80</v>
      </c>
      <c r="AN44" s="5" t="s">
        <v>271</v>
      </c>
      <c r="AO44" s="5" t="s">
        <v>104</v>
      </c>
      <c r="AP44" s="5">
        <v>37</v>
      </c>
      <c r="AQ44" s="5" t="s">
        <v>106</v>
      </c>
      <c r="AR44" s="5" t="s">
        <v>107</v>
      </c>
      <c r="AS44" s="5" t="s">
        <v>80</v>
      </c>
      <c r="AU44" s="5" t="s">
        <v>208</v>
      </c>
      <c r="AV44" s="18"/>
    </row>
    <row r="45" spans="1:48" ht="22.5" customHeight="1" x14ac:dyDescent="0.2">
      <c r="A45" s="16">
        <v>45734.578956087964</v>
      </c>
      <c r="B45" s="5" t="s">
        <v>83</v>
      </c>
      <c r="D45" s="5" t="s">
        <v>86</v>
      </c>
      <c r="F45" s="5" t="s">
        <v>89</v>
      </c>
      <c r="G45" s="5" t="s">
        <v>90</v>
      </c>
      <c r="H45" s="5" t="s">
        <v>154</v>
      </c>
      <c r="I45" s="5">
        <v>5</v>
      </c>
      <c r="J45" s="5" t="s">
        <v>82</v>
      </c>
      <c r="K45" s="5" t="s">
        <v>184</v>
      </c>
      <c r="L45" s="5" t="s">
        <v>75</v>
      </c>
      <c r="M45" s="5" t="s">
        <v>75</v>
      </c>
      <c r="N45" s="5" t="s">
        <v>75</v>
      </c>
      <c r="O45" s="5" t="s">
        <v>82</v>
      </c>
      <c r="U45" s="5" t="s">
        <v>82</v>
      </c>
      <c r="Z45" s="5">
        <v>8</v>
      </c>
      <c r="AA45" s="5">
        <v>9</v>
      </c>
      <c r="AB45" s="5">
        <v>10</v>
      </c>
      <c r="AC45" s="5">
        <v>8</v>
      </c>
      <c r="AD45" s="5">
        <v>10</v>
      </c>
      <c r="AE45" s="5">
        <v>7</v>
      </c>
      <c r="AF45" s="5">
        <v>10</v>
      </c>
      <c r="AG45" s="5">
        <v>8</v>
      </c>
      <c r="AH45" s="5">
        <v>8</v>
      </c>
      <c r="AI45" s="5">
        <v>10</v>
      </c>
      <c r="AJ45" s="5">
        <v>1</v>
      </c>
      <c r="AK45" s="5" t="s">
        <v>49</v>
      </c>
      <c r="AL45" s="5" t="s">
        <v>80</v>
      </c>
      <c r="AM45" s="5" t="s">
        <v>80</v>
      </c>
      <c r="AN45" s="5" t="s">
        <v>272</v>
      </c>
      <c r="AO45" s="5" t="s">
        <v>104</v>
      </c>
      <c r="AP45" s="5">
        <v>27</v>
      </c>
      <c r="AQ45" s="5" t="s">
        <v>106</v>
      </c>
      <c r="AR45" s="5" t="s">
        <v>174</v>
      </c>
      <c r="AS45" s="5" t="s">
        <v>80</v>
      </c>
      <c r="AU45" s="5" t="s">
        <v>273</v>
      </c>
      <c r="AV45" s="18"/>
    </row>
    <row r="46" spans="1:48" ht="22.5" customHeight="1" x14ac:dyDescent="0.2">
      <c r="A46" s="16">
        <v>45734.594871249996</v>
      </c>
      <c r="B46" s="5" t="s">
        <v>83</v>
      </c>
      <c r="D46" s="5" t="s">
        <v>86</v>
      </c>
      <c r="F46" s="5" t="s">
        <v>89</v>
      </c>
      <c r="G46" s="5" t="s">
        <v>90</v>
      </c>
      <c r="H46" s="5" t="s">
        <v>91</v>
      </c>
      <c r="I46" s="5">
        <v>4</v>
      </c>
      <c r="J46" s="5" t="s">
        <v>80</v>
      </c>
      <c r="K46" s="5" t="s">
        <v>82</v>
      </c>
      <c r="L46" s="5" t="s">
        <v>75</v>
      </c>
      <c r="M46" s="5" t="s">
        <v>75</v>
      </c>
      <c r="N46" s="5" t="s">
        <v>75</v>
      </c>
      <c r="O46" s="5" t="s">
        <v>82</v>
      </c>
      <c r="U46" s="5" t="s">
        <v>82</v>
      </c>
      <c r="Z46" s="5">
        <v>10</v>
      </c>
      <c r="AA46" s="5">
        <v>10</v>
      </c>
      <c r="AB46" s="5">
        <v>10</v>
      </c>
      <c r="AC46" s="5">
        <v>10</v>
      </c>
      <c r="AD46" s="5">
        <v>10</v>
      </c>
      <c r="AE46" s="5">
        <v>10</v>
      </c>
      <c r="AF46" s="5">
        <v>10</v>
      </c>
      <c r="AG46" s="5">
        <v>10</v>
      </c>
      <c r="AH46" s="5">
        <v>10</v>
      </c>
      <c r="AI46" s="5">
        <v>10</v>
      </c>
      <c r="AJ46" s="5">
        <v>1</v>
      </c>
      <c r="AK46" s="5" t="s">
        <v>9</v>
      </c>
      <c r="AL46" s="5" t="s">
        <v>80</v>
      </c>
      <c r="AM46" s="5" t="s">
        <v>80</v>
      </c>
      <c r="AN46" s="5" t="s">
        <v>274</v>
      </c>
      <c r="AO46" s="5" t="s">
        <v>104</v>
      </c>
      <c r="AP46" s="5">
        <v>39</v>
      </c>
      <c r="AQ46" s="5" t="s">
        <v>106</v>
      </c>
      <c r="AR46" s="5" t="s">
        <v>107</v>
      </c>
      <c r="AS46" s="5" t="s">
        <v>80</v>
      </c>
      <c r="AU46" s="5" t="s">
        <v>275</v>
      </c>
      <c r="AV46" s="18"/>
    </row>
    <row r="47" spans="1:48" ht="22.5" customHeight="1" x14ac:dyDescent="0.2">
      <c r="A47" s="16">
        <v>45734.591961423612</v>
      </c>
      <c r="B47" s="5" t="s">
        <v>83</v>
      </c>
      <c r="D47" s="5" t="s">
        <v>86</v>
      </c>
      <c r="F47" s="5" t="s">
        <v>121</v>
      </c>
      <c r="G47" s="5" t="s">
        <v>90</v>
      </c>
      <c r="H47" s="5" t="s">
        <v>91</v>
      </c>
      <c r="I47" s="5">
        <v>3</v>
      </c>
      <c r="J47" s="5" t="s">
        <v>276</v>
      </c>
      <c r="K47" s="5" t="s">
        <v>80</v>
      </c>
      <c r="L47" s="5" t="s">
        <v>75</v>
      </c>
      <c r="M47" s="5" t="s">
        <v>75</v>
      </c>
      <c r="N47" s="5" t="s">
        <v>75</v>
      </c>
      <c r="O47" s="5" t="s">
        <v>82</v>
      </c>
      <c r="U47" s="5" t="s">
        <v>82</v>
      </c>
      <c r="Z47" s="5">
        <v>10</v>
      </c>
      <c r="AA47" s="5">
        <v>9</v>
      </c>
      <c r="AB47" s="5">
        <v>9</v>
      </c>
      <c r="AC47" s="5">
        <v>6</v>
      </c>
      <c r="AD47" s="5">
        <v>10</v>
      </c>
      <c r="AE47" s="5">
        <v>10</v>
      </c>
      <c r="AF47" s="5">
        <v>10</v>
      </c>
      <c r="AG47" s="5">
        <v>10</v>
      </c>
      <c r="AH47" s="5">
        <v>10</v>
      </c>
      <c r="AI47" s="5">
        <v>10</v>
      </c>
      <c r="AJ47" s="5">
        <v>1</v>
      </c>
      <c r="AK47" s="5" t="s">
        <v>59</v>
      </c>
      <c r="AL47" s="5" t="s">
        <v>80</v>
      </c>
      <c r="AM47" s="5" t="s">
        <v>80</v>
      </c>
      <c r="AN47" s="5" t="s">
        <v>277</v>
      </c>
      <c r="AO47" s="5" t="s">
        <v>104</v>
      </c>
      <c r="AP47" s="5">
        <v>29</v>
      </c>
      <c r="AQ47" s="5" t="s">
        <v>106</v>
      </c>
      <c r="AR47" s="5" t="s">
        <v>107</v>
      </c>
      <c r="AS47" s="5" t="s">
        <v>80</v>
      </c>
      <c r="AT47" s="5" t="s">
        <v>278</v>
      </c>
      <c r="AU47" s="5" t="s">
        <v>279</v>
      </c>
      <c r="AV47" s="18"/>
    </row>
    <row r="48" spans="1:48" ht="22.5" customHeight="1" x14ac:dyDescent="0.2">
      <c r="A48" s="16">
        <v>45735.629983773149</v>
      </c>
      <c r="B48" s="5" t="s">
        <v>83</v>
      </c>
      <c r="D48" s="5" t="s">
        <v>149</v>
      </c>
      <c r="E48" s="5" t="s">
        <v>280</v>
      </c>
      <c r="F48" s="5" t="s">
        <v>89</v>
      </c>
      <c r="G48" s="5" t="s">
        <v>90</v>
      </c>
      <c r="H48" s="5" t="s">
        <v>91</v>
      </c>
      <c r="I48" s="5">
        <v>2</v>
      </c>
      <c r="J48" s="5" t="s">
        <v>82</v>
      </c>
      <c r="K48" s="5" t="s">
        <v>80</v>
      </c>
      <c r="L48" s="5" t="s">
        <v>75</v>
      </c>
      <c r="M48" s="5" t="s">
        <v>75</v>
      </c>
      <c r="N48" s="5" t="s">
        <v>75</v>
      </c>
      <c r="O48" s="5" t="s">
        <v>82</v>
      </c>
      <c r="U48" s="5" t="s">
        <v>82</v>
      </c>
      <c r="Z48" s="5">
        <v>10</v>
      </c>
      <c r="AA48" s="5">
        <v>9</v>
      </c>
      <c r="AB48" s="5">
        <v>6</v>
      </c>
      <c r="AC48" s="5">
        <v>2</v>
      </c>
      <c r="AD48" s="5">
        <v>10</v>
      </c>
      <c r="AE48" s="5">
        <v>1</v>
      </c>
      <c r="AF48" s="5">
        <v>10</v>
      </c>
      <c r="AG48" s="5">
        <v>10</v>
      </c>
      <c r="AH48" s="5">
        <v>7</v>
      </c>
      <c r="AI48" s="5">
        <v>10</v>
      </c>
      <c r="AJ48" s="5">
        <v>1</v>
      </c>
      <c r="AK48" s="5" t="s">
        <v>93</v>
      </c>
      <c r="AL48" s="5" t="s">
        <v>80</v>
      </c>
      <c r="AM48" s="5" t="s">
        <v>80</v>
      </c>
      <c r="AN48" s="5" t="s">
        <v>281</v>
      </c>
      <c r="AO48" s="5" t="s">
        <v>104</v>
      </c>
      <c r="AP48" s="5">
        <v>30</v>
      </c>
      <c r="AQ48" s="5" t="s">
        <v>106</v>
      </c>
      <c r="AR48" s="5" t="s">
        <v>174</v>
      </c>
      <c r="AS48" s="5" t="s">
        <v>80</v>
      </c>
      <c r="AT48" s="5" t="s">
        <v>282</v>
      </c>
      <c r="AU48" s="5" t="s">
        <v>283</v>
      </c>
    </row>
    <row r="49" spans="1:49" ht="22.5" customHeight="1" x14ac:dyDescent="0.2">
      <c r="A49" s="16">
        <v>45735.631015046296</v>
      </c>
      <c r="B49" s="5" t="s">
        <v>83</v>
      </c>
      <c r="D49" s="5" t="s">
        <v>86</v>
      </c>
      <c r="F49" s="5" t="s">
        <v>121</v>
      </c>
      <c r="G49" s="5" t="s">
        <v>122</v>
      </c>
      <c r="H49" s="5" t="s">
        <v>154</v>
      </c>
      <c r="I49" s="5">
        <v>3</v>
      </c>
      <c r="J49" s="5" t="s">
        <v>80</v>
      </c>
      <c r="K49" s="5" t="s">
        <v>80</v>
      </c>
      <c r="L49" s="5" t="s">
        <v>75</v>
      </c>
      <c r="M49" s="5" t="s">
        <v>75</v>
      </c>
      <c r="N49" s="5" t="s">
        <v>75</v>
      </c>
      <c r="O49" s="5" t="s">
        <v>82</v>
      </c>
      <c r="U49" s="5" t="s">
        <v>82</v>
      </c>
      <c r="Z49" s="5">
        <v>10</v>
      </c>
      <c r="AA49" s="5">
        <v>10</v>
      </c>
      <c r="AB49" s="5">
        <v>10</v>
      </c>
      <c r="AC49" s="5">
        <v>10</v>
      </c>
      <c r="AD49" s="5">
        <v>10</v>
      </c>
      <c r="AE49" s="5">
        <v>10</v>
      </c>
      <c r="AF49" s="5">
        <v>10</v>
      </c>
      <c r="AG49" s="5">
        <v>9</v>
      </c>
      <c r="AH49" s="5">
        <v>10</v>
      </c>
      <c r="AI49" s="5">
        <v>10</v>
      </c>
      <c r="AJ49" s="5">
        <v>1</v>
      </c>
      <c r="AK49" s="5" t="s">
        <v>9</v>
      </c>
      <c r="AL49" s="5" t="s">
        <v>80</v>
      </c>
      <c r="AM49" s="5" t="s">
        <v>80</v>
      </c>
      <c r="AN49" s="5" t="s">
        <v>284</v>
      </c>
      <c r="AO49" s="5" t="s">
        <v>104</v>
      </c>
      <c r="AP49" s="5">
        <v>60</v>
      </c>
      <c r="AQ49" s="5" t="s">
        <v>119</v>
      </c>
      <c r="AR49" s="5" t="s">
        <v>107</v>
      </c>
      <c r="AS49" s="5" t="s">
        <v>80</v>
      </c>
      <c r="AU49" s="5" t="s">
        <v>285</v>
      </c>
    </row>
    <row r="50" spans="1:49" ht="22.5" customHeight="1" x14ac:dyDescent="0.2">
      <c r="A50" s="16">
        <v>45735.49132400463</v>
      </c>
      <c r="B50" s="5" t="s">
        <v>83</v>
      </c>
      <c r="D50" s="5" t="s">
        <v>86</v>
      </c>
      <c r="F50" s="5" t="s">
        <v>112</v>
      </c>
      <c r="G50" s="5" t="s">
        <v>90</v>
      </c>
      <c r="H50" s="5" t="s">
        <v>91</v>
      </c>
      <c r="I50" s="5">
        <v>2</v>
      </c>
      <c r="J50" s="5" t="s">
        <v>80</v>
      </c>
      <c r="K50" s="5" t="s">
        <v>80</v>
      </c>
      <c r="L50" s="5" t="s">
        <v>110</v>
      </c>
      <c r="M50" s="5" t="s">
        <v>75</v>
      </c>
      <c r="N50" s="5" t="s">
        <v>75</v>
      </c>
      <c r="O50" s="5" t="s">
        <v>82</v>
      </c>
      <c r="U50" s="5" t="s">
        <v>82</v>
      </c>
      <c r="Z50" s="5">
        <v>8</v>
      </c>
      <c r="AA50" s="5">
        <v>7</v>
      </c>
      <c r="AB50" s="5">
        <v>7</v>
      </c>
      <c r="AC50" s="5">
        <v>8</v>
      </c>
      <c r="AD50" s="5">
        <v>9</v>
      </c>
      <c r="AE50" s="5">
        <v>8</v>
      </c>
      <c r="AF50" s="5">
        <v>8</v>
      </c>
      <c r="AG50" s="5">
        <v>8</v>
      </c>
      <c r="AH50" s="5">
        <v>8</v>
      </c>
      <c r="AI50" s="5">
        <v>10</v>
      </c>
      <c r="AJ50" s="5">
        <v>2</v>
      </c>
      <c r="AK50" s="5" t="s">
        <v>84</v>
      </c>
      <c r="AL50" s="5" t="s">
        <v>80</v>
      </c>
      <c r="AM50" s="5" t="s">
        <v>80</v>
      </c>
      <c r="AN50" s="5" t="s">
        <v>286</v>
      </c>
      <c r="AO50" s="5" t="s">
        <v>104</v>
      </c>
      <c r="AP50" s="5">
        <v>71</v>
      </c>
      <c r="AQ50" s="5" t="s">
        <v>191</v>
      </c>
      <c r="AR50" s="5" t="s">
        <v>107</v>
      </c>
      <c r="AS50" s="5" t="s">
        <v>80</v>
      </c>
      <c r="AT50" s="5" t="s">
        <v>287</v>
      </c>
      <c r="AU50" s="5" t="s">
        <v>288</v>
      </c>
    </row>
    <row r="51" spans="1:49" ht="22.5" customHeight="1" x14ac:dyDescent="0.2">
      <c r="A51" s="16">
        <v>45734.583419027782</v>
      </c>
      <c r="B51" s="5" t="s">
        <v>83</v>
      </c>
      <c r="D51" s="5" t="s">
        <v>86</v>
      </c>
      <c r="F51" s="5" t="s">
        <v>89</v>
      </c>
      <c r="G51" s="5" t="s">
        <v>90</v>
      </c>
      <c r="H51" s="5" t="s">
        <v>123</v>
      </c>
      <c r="I51" s="5">
        <v>5</v>
      </c>
      <c r="J51" s="5" t="s">
        <v>80</v>
      </c>
      <c r="K51" s="5" t="s">
        <v>82</v>
      </c>
      <c r="L51" s="5" t="s">
        <v>110</v>
      </c>
      <c r="M51" s="5" t="s">
        <v>75</v>
      </c>
      <c r="N51" s="5" t="s">
        <v>85</v>
      </c>
      <c r="O51" s="5" t="s">
        <v>82</v>
      </c>
      <c r="U51" s="5" t="s">
        <v>82</v>
      </c>
      <c r="Z51" s="5">
        <v>7</v>
      </c>
      <c r="AA51" s="5">
        <v>4</v>
      </c>
      <c r="AB51" s="5">
        <v>8</v>
      </c>
      <c r="AC51" s="5">
        <v>5</v>
      </c>
      <c r="AD51" s="5">
        <v>10</v>
      </c>
      <c r="AE51" s="5">
        <v>10</v>
      </c>
      <c r="AF51" s="5">
        <v>8</v>
      </c>
      <c r="AG51" s="5">
        <v>8</v>
      </c>
      <c r="AH51" s="5">
        <v>7</v>
      </c>
      <c r="AI51" s="5">
        <v>9</v>
      </c>
      <c r="AJ51" s="5">
        <v>1</v>
      </c>
      <c r="AK51" s="5" t="s">
        <v>54</v>
      </c>
      <c r="AL51" s="5" t="s">
        <v>80</v>
      </c>
      <c r="AM51" s="5" t="s">
        <v>80</v>
      </c>
      <c r="AN51" s="5" t="s">
        <v>289</v>
      </c>
      <c r="AO51" s="5" t="s">
        <v>104</v>
      </c>
      <c r="AP51" s="5">
        <v>24</v>
      </c>
      <c r="AQ51" s="5" t="s">
        <v>106</v>
      </c>
      <c r="AR51" s="5" t="s">
        <v>174</v>
      </c>
      <c r="AS51" s="5" t="s">
        <v>80</v>
      </c>
      <c r="AU51" s="5" t="s">
        <v>290</v>
      </c>
      <c r="AV51" s="18"/>
    </row>
    <row r="52" spans="1:49" ht="22.5" customHeight="1" x14ac:dyDescent="0.2">
      <c r="A52" s="16">
        <v>45734.531776122683</v>
      </c>
      <c r="B52" s="5" t="s">
        <v>137</v>
      </c>
      <c r="C52" s="5" t="s">
        <v>138</v>
      </c>
      <c r="D52" s="5" t="s">
        <v>149</v>
      </c>
      <c r="E52" s="5" t="s">
        <v>151</v>
      </c>
      <c r="F52" s="5" t="s">
        <v>121</v>
      </c>
      <c r="G52" s="5" t="s">
        <v>90</v>
      </c>
      <c r="H52" s="5" t="s">
        <v>154</v>
      </c>
      <c r="I52" s="5">
        <v>3</v>
      </c>
      <c r="J52" s="5" t="s">
        <v>82</v>
      </c>
      <c r="K52" s="5" t="s">
        <v>181</v>
      </c>
      <c r="L52" s="5" t="s">
        <v>75</v>
      </c>
      <c r="M52" s="5" t="s">
        <v>75</v>
      </c>
      <c r="N52" s="5" t="s">
        <v>75</v>
      </c>
      <c r="O52" s="5" t="s">
        <v>82</v>
      </c>
      <c r="U52" s="5" t="s">
        <v>82</v>
      </c>
      <c r="Z52" s="5">
        <v>5</v>
      </c>
      <c r="AA52" s="5">
        <v>10</v>
      </c>
      <c r="AB52" s="5">
        <v>10</v>
      </c>
      <c r="AC52" s="5">
        <v>10</v>
      </c>
      <c r="AD52" s="5">
        <v>9</v>
      </c>
      <c r="AE52" s="5">
        <v>9</v>
      </c>
      <c r="AF52" s="5">
        <v>8</v>
      </c>
      <c r="AG52" s="5">
        <v>8</v>
      </c>
      <c r="AH52" s="5">
        <v>3</v>
      </c>
      <c r="AI52" s="5">
        <v>3</v>
      </c>
      <c r="AJ52" s="5" t="s">
        <v>291</v>
      </c>
      <c r="AK52" s="5" t="s">
        <v>292</v>
      </c>
      <c r="AL52" s="5" t="s">
        <v>80</v>
      </c>
      <c r="AM52" s="5" t="s">
        <v>80</v>
      </c>
      <c r="AN52" s="5" t="s">
        <v>293</v>
      </c>
      <c r="AO52" s="5" t="s">
        <v>104</v>
      </c>
      <c r="AP52" s="5">
        <v>34</v>
      </c>
      <c r="AQ52" s="5" t="s">
        <v>106</v>
      </c>
      <c r="AR52" s="5" t="s">
        <v>107</v>
      </c>
      <c r="AS52" s="5" t="s">
        <v>80</v>
      </c>
    </row>
    <row r="53" spans="1:49" ht="22.5" customHeight="1" x14ac:dyDescent="0.2">
      <c r="A53" s="20">
        <v>45733.854985509257</v>
      </c>
      <c r="B53" s="2" t="s">
        <v>83</v>
      </c>
      <c r="C53" s="6"/>
      <c r="D53" s="2" t="s">
        <v>86</v>
      </c>
      <c r="E53" s="6"/>
      <c r="F53" s="2" t="s">
        <v>89</v>
      </c>
      <c r="G53" s="2" t="s">
        <v>157</v>
      </c>
      <c r="H53" s="2" t="s">
        <v>135</v>
      </c>
      <c r="I53" s="2">
        <v>1</v>
      </c>
      <c r="J53" s="2" t="s">
        <v>82</v>
      </c>
      <c r="K53" s="2" t="s">
        <v>80</v>
      </c>
      <c r="L53" s="2" t="s">
        <v>75</v>
      </c>
      <c r="M53" s="2" t="s">
        <v>75</v>
      </c>
      <c r="N53" s="2" t="s">
        <v>75</v>
      </c>
      <c r="O53" s="2" t="s">
        <v>82</v>
      </c>
      <c r="P53" s="6"/>
      <c r="Q53" s="6"/>
      <c r="R53" s="6"/>
      <c r="S53" s="6"/>
      <c r="T53" s="6"/>
      <c r="U53" s="2" t="s">
        <v>82</v>
      </c>
      <c r="V53" s="6"/>
      <c r="W53" s="6"/>
      <c r="X53" s="6"/>
      <c r="Y53" s="6"/>
      <c r="Z53" s="2">
        <v>8</v>
      </c>
      <c r="AA53" s="2">
        <v>9</v>
      </c>
      <c r="AB53" s="2">
        <v>9</v>
      </c>
      <c r="AC53" s="2">
        <v>10</v>
      </c>
      <c r="AD53" s="2">
        <v>5</v>
      </c>
      <c r="AE53" s="2">
        <v>7</v>
      </c>
      <c r="AF53" s="2">
        <v>10</v>
      </c>
      <c r="AG53" s="2">
        <v>10</v>
      </c>
      <c r="AH53" s="2">
        <v>7</v>
      </c>
      <c r="AI53" s="2">
        <v>10</v>
      </c>
      <c r="AJ53" s="2">
        <v>1</v>
      </c>
      <c r="AK53" s="2" t="s">
        <v>14</v>
      </c>
      <c r="AL53" s="2" t="s">
        <v>80</v>
      </c>
      <c r="AM53" s="2" t="s">
        <v>80</v>
      </c>
      <c r="AN53" s="2" t="s">
        <v>294</v>
      </c>
      <c r="AO53" s="2" t="s">
        <v>104</v>
      </c>
      <c r="AP53" s="2">
        <v>45</v>
      </c>
      <c r="AQ53" s="2" t="s">
        <v>106</v>
      </c>
      <c r="AR53" s="2" t="s">
        <v>107</v>
      </c>
      <c r="AS53" s="2" t="s">
        <v>80</v>
      </c>
      <c r="AT53" s="15"/>
      <c r="AU53" s="15"/>
      <c r="AV53" s="15"/>
      <c r="AW53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3"/>
  <sheetViews>
    <sheetView workbookViewId="0"/>
  </sheetViews>
  <sheetFormatPr defaultColWidth="12.5703125" defaultRowHeight="15.75" customHeight="1" x14ac:dyDescent="0.2"/>
  <cols>
    <col min="1" max="1" width="21.140625" customWidth="1"/>
  </cols>
  <sheetData>
    <row r="1" spans="1:4" ht="22.5" customHeight="1" x14ac:dyDescent="0.2">
      <c r="A1" s="1" t="s">
        <v>1</v>
      </c>
    </row>
    <row r="2" spans="1:4" ht="22.5" customHeight="1" x14ac:dyDescent="0.2">
      <c r="A2" s="3" t="s">
        <v>2</v>
      </c>
      <c r="D2" s="4">
        <v>3.5</v>
      </c>
    </row>
    <row r="3" spans="1:4" ht="22.5" customHeight="1" x14ac:dyDescent="0.2">
      <c r="A3" s="2">
        <v>5</v>
      </c>
      <c r="D3" s="4">
        <v>5</v>
      </c>
    </row>
    <row r="4" spans="1:4" ht="22.5" customHeight="1" x14ac:dyDescent="0.2">
      <c r="A4" s="3" t="s">
        <v>3</v>
      </c>
      <c r="D4" s="4">
        <v>7.5</v>
      </c>
    </row>
    <row r="5" spans="1:4" ht="22.5" customHeight="1" x14ac:dyDescent="0.2">
      <c r="A5" s="6"/>
      <c r="D5" s="4">
        <v>2</v>
      </c>
    </row>
    <row r="6" spans="1:4" ht="22.5" customHeight="1" x14ac:dyDescent="0.2">
      <c r="A6" s="2">
        <v>2</v>
      </c>
      <c r="D6" s="4">
        <v>1</v>
      </c>
    </row>
    <row r="7" spans="1:4" ht="22.5" customHeight="1" x14ac:dyDescent="0.2">
      <c r="A7" s="5">
        <v>1</v>
      </c>
      <c r="D7" s="4">
        <v>15</v>
      </c>
    </row>
    <row r="8" spans="1:4" ht="22.5" customHeight="1" x14ac:dyDescent="0.2">
      <c r="A8" s="5">
        <v>15</v>
      </c>
      <c r="D8" s="4">
        <v>8</v>
      </c>
    </row>
    <row r="9" spans="1:4" ht="22.5" customHeight="1" x14ac:dyDescent="0.2">
      <c r="A9" s="5" t="s">
        <v>7</v>
      </c>
      <c r="D9" s="4">
        <v>20</v>
      </c>
    </row>
    <row r="10" spans="1:4" ht="22.5" customHeight="1" x14ac:dyDescent="0.2">
      <c r="A10" s="5">
        <v>20</v>
      </c>
      <c r="D10" s="4">
        <v>10</v>
      </c>
    </row>
    <row r="11" spans="1:4" ht="22.5" customHeight="1" x14ac:dyDescent="0.2">
      <c r="A11" s="5">
        <v>10</v>
      </c>
      <c r="D11" s="4">
        <v>8</v>
      </c>
    </row>
    <row r="12" spans="1:4" ht="22.5" customHeight="1" x14ac:dyDescent="0.2">
      <c r="A12" s="5" t="s">
        <v>11</v>
      </c>
      <c r="D12" s="4">
        <v>2</v>
      </c>
    </row>
    <row r="13" spans="1:4" ht="22.5" customHeight="1" x14ac:dyDescent="0.2">
      <c r="D13" s="4">
        <v>10</v>
      </c>
    </row>
    <row r="14" spans="1:4" ht="22.5" customHeight="1" x14ac:dyDescent="0.2">
      <c r="A14" s="5">
        <v>2</v>
      </c>
      <c r="D14" s="4">
        <v>1</v>
      </c>
    </row>
    <row r="15" spans="1:4" ht="22.5" customHeight="1" x14ac:dyDescent="0.2">
      <c r="A15" s="5" t="s">
        <v>13</v>
      </c>
      <c r="D15" s="4">
        <v>10</v>
      </c>
    </row>
    <row r="16" spans="1:4" ht="22.5" customHeight="1" x14ac:dyDescent="0.2">
      <c r="A16" s="5">
        <v>1</v>
      </c>
      <c r="D16" s="4">
        <v>5</v>
      </c>
    </row>
    <row r="17" spans="1:4" ht="22.5" customHeight="1" x14ac:dyDescent="0.2">
      <c r="A17" s="5" t="s">
        <v>16</v>
      </c>
      <c r="D17" s="4">
        <v>10</v>
      </c>
    </row>
    <row r="18" spans="1:4" ht="22.5" customHeight="1" x14ac:dyDescent="0.2">
      <c r="D18" s="4">
        <v>6</v>
      </c>
    </row>
    <row r="19" spans="1:4" ht="22.5" customHeight="1" x14ac:dyDescent="0.2">
      <c r="D19" s="4">
        <v>7</v>
      </c>
    </row>
    <row r="20" spans="1:4" ht="22.5" customHeight="1" x14ac:dyDescent="0.2">
      <c r="A20" s="5">
        <v>5</v>
      </c>
      <c r="D20" s="4">
        <v>5.5</v>
      </c>
    </row>
    <row r="21" spans="1:4" ht="22.5" customHeight="1" x14ac:dyDescent="0.2">
      <c r="D21" s="4">
        <v>4</v>
      </c>
    </row>
    <row r="22" spans="1:4" ht="22.5" customHeight="1" x14ac:dyDescent="0.2">
      <c r="A22" s="5">
        <v>10</v>
      </c>
      <c r="D22" s="4">
        <v>10</v>
      </c>
    </row>
    <row r="23" spans="1:4" ht="22.5" customHeight="1" x14ac:dyDescent="0.2">
      <c r="D23" s="4">
        <v>20</v>
      </c>
    </row>
    <row r="24" spans="1:4" ht="22.5" customHeight="1" x14ac:dyDescent="0.2">
      <c r="A24" s="5">
        <v>6</v>
      </c>
      <c r="D24" s="4">
        <v>6</v>
      </c>
    </row>
    <row r="25" spans="1:4" ht="22.5" customHeight="1" x14ac:dyDescent="0.2">
      <c r="D25" s="4">
        <v>18</v>
      </c>
    </row>
    <row r="26" spans="1:4" ht="22.5" customHeight="1" x14ac:dyDescent="0.2">
      <c r="D26" s="4">
        <v>2</v>
      </c>
    </row>
    <row r="27" spans="1:4" ht="22.5" customHeight="1" x14ac:dyDescent="0.2">
      <c r="D27" s="4">
        <v>5</v>
      </c>
    </row>
    <row r="28" spans="1:4" ht="22.5" customHeight="1" x14ac:dyDescent="0.2">
      <c r="D28" s="4">
        <v>1</v>
      </c>
    </row>
    <row r="29" spans="1:4" ht="22.5" customHeight="1" x14ac:dyDescent="0.2">
      <c r="A29" s="5">
        <v>7</v>
      </c>
      <c r="D29" s="4">
        <v>5.5</v>
      </c>
    </row>
    <row r="30" spans="1:4" ht="22.5" customHeight="1" x14ac:dyDescent="0.2">
      <c r="A30" s="9" t="s">
        <v>26</v>
      </c>
      <c r="D30" s="4">
        <v>5</v>
      </c>
    </row>
    <row r="31" spans="1:4" ht="22.5" customHeight="1" x14ac:dyDescent="0.2">
      <c r="A31" s="5">
        <v>4</v>
      </c>
      <c r="D31" s="10">
        <f>AVERAGE(D2:D30)</f>
        <v>7.3448275862068968</v>
      </c>
    </row>
    <row r="32" spans="1:4" ht="22.5" customHeight="1" x14ac:dyDescent="0.2"/>
    <row r="33" spans="1:1" ht="22.5" customHeight="1" x14ac:dyDescent="0.2">
      <c r="A33" s="5">
        <v>10</v>
      </c>
    </row>
    <row r="34" spans="1:1" ht="22.5" customHeight="1" x14ac:dyDescent="0.2"/>
    <row r="35" spans="1:1" ht="22.5" customHeight="1" x14ac:dyDescent="0.2">
      <c r="A35" s="5">
        <v>20</v>
      </c>
    </row>
    <row r="36" spans="1:1" ht="22.5" customHeight="1" x14ac:dyDescent="0.2"/>
    <row r="37" spans="1:1" ht="22.5" customHeight="1" x14ac:dyDescent="0.2"/>
    <row r="38" spans="1:1" ht="22.5" customHeight="1" x14ac:dyDescent="0.2"/>
    <row r="39" spans="1:1" ht="22.5" customHeight="1" x14ac:dyDescent="0.2"/>
    <row r="40" spans="1:1" ht="22.5" customHeight="1" x14ac:dyDescent="0.2"/>
    <row r="41" spans="1:1" ht="22.5" customHeight="1" x14ac:dyDescent="0.2">
      <c r="A41" s="5">
        <v>6</v>
      </c>
    </row>
    <row r="42" spans="1:1" ht="22.5" customHeight="1" x14ac:dyDescent="0.2"/>
    <row r="43" spans="1:1" ht="22.5" customHeight="1" x14ac:dyDescent="0.2"/>
    <row r="44" spans="1:1" ht="22.5" customHeight="1" x14ac:dyDescent="0.2">
      <c r="A44" s="5">
        <v>18</v>
      </c>
    </row>
    <row r="45" spans="1:1" ht="22.5" customHeight="1" x14ac:dyDescent="0.2">
      <c r="A45" s="5">
        <v>2</v>
      </c>
    </row>
    <row r="46" spans="1:1" ht="22.5" customHeight="1" x14ac:dyDescent="0.2"/>
    <row r="47" spans="1:1" ht="22.5" customHeight="1" x14ac:dyDescent="0.2"/>
    <row r="48" spans="1:1" ht="22.5" customHeight="1" x14ac:dyDescent="0.2"/>
    <row r="49" spans="1:1" ht="22.5" customHeight="1" x14ac:dyDescent="0.2">
      <c r="A49" s="5">
        <v>5</v>
      </c>
    </row>
    <row r="50" spans="1:1" ht="22.5" customHeight="1" x14ac:dyDescent="0.2">
      <c r="A50" s="5">
        <v>1</v>
      </c>
    </row>
    <row r="51" spans="1:1" ht="22.5" customHeight="1" x14ac:dyDescent="0.2"/>
    <row r="52" spans="1:1" ht="22.5" customHeight="1" x14ac:dyDescent="0.2">
      <c r="A52" s="5" t="s">
        <v>38</v>
      </c>
    </row>
    <row r="53" spans="1:1" ht="22.5" customHeight="1" x14ac:dyDescent="0.2">
      <c r="A53" s="5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1"/>
  <sheetViews>
    <sheetView workbookViewId="0"/>
  </sheetViews>
  <sheetFormatPr defaultColWidth="12.5703125" defaultRowHeight="15.75" customHeight="1" x14ac:dyDescent="0.2"/>
  <cols>
    <col min="1" max="1" width="22.5703125" customWidth="1"/>
  </cols>
  <sheetData>
    <row r="1" spans="1:1" ht="22.5" customHeight="1" x14ac:dyDescent="0.2">
      <c r="A1" s="1" t="s">
        <v>0</v>
      </c>
    </row>
    <row r="2" spans="1:1" ht="22.5" customHeight="1" x14ac:dyDescent="0.2">
      <c r="A2" s="2">
        <v>40</v>
      </c>
    </row>
    <row r="3" spans="1:1" ht="22.5" customHeight="1" x14ac:dyDescent="0.2">
      <c r="A3" s="2">
        <v>5</v>
      </c>
    </row>
    <row r="4" spans="1:1" ht="22.5" customHeight="1" x14ac:dyDescent="0.2">
      <c r="A4" s="5">
        <v>10</v>
      </c>
    </row>
    <row r="5" spans="1:1" ht="22.5" customHeight="1" x14ac:dyDescent="0.2">
      <c r="A5" s="5">
        <v>45</v>
      </c>
    </row>
    <row r="6" spans="1:1" ht="22.5" customHeight="1" x14ac:dyDescent="0.2">
      <c r="A6" s="5">
        <v>5</v>
      </c>
    </row>
    <row r="7" spans="1:1" ht="22.5" customHeight="1" x14ac:dyDescent="0.2">
      <c r="A7" s="5">
        <v>2</v>
      </c>
    </row>
    <row r="8" spans="1:1" ht="22.5" customHeight="1" x14ac:dyDescent="0.2">
      <c r="A8" s="5">
        <v>30</v>
      </c>
    </row>
    <row r="9" spans="1:1" ht="22.5" customHeight="1" x14ac:dyDescent="0.2">
      <c r="A9" s="5">
        <v>85</v>
      </c>
    </row>
    <row r="11" spans="1:1" ht="12.75" x14ac:dyDescent="0.2">
      <c r="A11" s="7">
        <f>AVERAGE(Table7[Oyun zamanı satışda olan klubun məhsullarına nə qədər pul xərcləmisiniz?])</f>
        <v>27.75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89"/>
  <sheetViews>
    <sheetView workbookViewId="0"/>
  </sheetViews>
  <sheetFormatPr defaultColWidth="12.5703125" defaultRowHeight="15.75" customHeight="1" x14ac:dyDescent="0.2"/>
  <cols>
    <col min="1" max="1" width="37.5703125" customWidth="1"/>
    <col min="2" max="2" width="10.140625" customWidth="1"/>
    <col min="3" max="3" width="37.5703125" customWidth="1"/>
    <col min="4" max="4" width="10.28515625" customWidth="1"/>
    <col min="5" max="5" width="37.5703125" customWidth="1"/>
  </cols>
  <sheetData>
    <row r="1" spans="1:6" ht="22.5" customHeight="1" x14ac:dyDescent="0.2">
      <c r="A1" s="1" t="s">
        <v>29</v>
      </c>
      <c r="B1" s="11" t="s">
        <v>66</v>
      </c>
      <c r="C1" s="1" t="s">
        <v>30</v>
      </c>
      <c r="D1" s="1" t="s">
        <v>71</v>
      </c>
      <c r="E1" s="1" t="s">
        <v>32</v>
      </c>
      <c r="F1" s="13" t="s">
        <v>73</v>
      </c>
    </row>
    <row r="2" spans="1:6" ht="22.5" customHeight="1" x14ac:dyDescent="0.2">
      <c r="A2" s="2" t="s">
        <v>75</v>
      </c>
      <c r="C2" s="2" t="s">
        <v>78</v>
      </c>
      <c r="D2" s="2"/>
      <c r="E2" s="2" t="s">
        <v>75</v>
      </c>
      <c r="F2" s="15"/>
    </row>
    <row r="3" spans="1:6" ht="22.5" customHeight="1" x14ac:dyDescent="0.2">
      <c r="A3" s="2" t="s">
        <v>75</v>
      </c>
      <c r="C3" s="2" t="s">
        <v>75</v>
      </c>
      <c r="D3" s="2"/>
      <c r="E3" s="2" t="s">
        <v>85</v>
      </c>
      <c r="F3" s="15"/>
    </row>
    <row r="4" spans="1:6" ht="22.5" customHeight="1" x14ac:dyDescent="0.2">
      <c r="A4" s="2" t="s">
        <v>88</v>
      </c>
      <c r="C4" s="2" t="s">
        <v>75</v>
      </c>
      <c r="D4" s="2"/>
      <c r="E4" s="2" t="s">
        <v>95</v>
      </c>
      <c r="F4" s="15"/>
    </row>
    <row r="5" spans="1:6" ht="22.5" customHeight="1" x14ac:dyDescent="0.2">
      <c r="A5" s="2" t="s">
        <v>75</v>
      </c>
      <c r="C5" s="2" t="s">
        <v>75</v>
      </c>
      <c r="D5" s="2"/>
      <c r="E5" s="2" t="s">
        <v>75</v>
      </c>
      <c r="F5" s="15"/>
    </row>
    <row r="6" spans="1:6" ht="22.5" customHeight="1" x14ac:dyDescent="0.2">
      <c r="A6" s="2" t="s">
        <v>75</v>
      </c>
      <c r="C6" s="2" t="s">
        <v>96</v>
      </c>
      <c r="D6" s="2"/>
      <c r="E6" s="2" t="s">
        <v>75</v>
      </c>
      <c r="F6" s="15"/>
    </row>
    <row r="7" spans="1:6" ht="22.5" customHeight="1" x14ac:dyDescent="0.2">
      <c r="A7" s="5" t="s">
        <v>97</v>
      </c>
      <c r="C7" s="5" t="s">
        <v>98</v>
      </c>
      <c r="D7" s="5"/>
      <c r="E7" s="5" t="s">
        <v>100</v>
      </c>
      <c r="F7" s="15"/>
    </row>
    <row r="8" spans="1:6" ht="22.5" customHeight="1" x14ac:dyDescent="0.2">
      <c r="A8" s="5" t="s">
        <v>75</v>
      </c>
      <c r="C8" s="5" t="s">
        <v>75</v>
      </c>
      <c r="D8" s="5"/>
      <c r="E8" s="5" t="s">
        <v>75</v>
      </c>
      <c r="F8" s="15"/>
    </row>
    <row r="9" spans="1:6" ht="22.5" customHeight="1" x14ac:dyDescent="0.2">
      <c r="A9" s="5" t="s">
        <v>102</v>
      </c>
      <c r="C9" s="5" t="s">
        <v>102</v>
      </c>
      <c r="D9" s="5"/>
      <c r="E9" s="5" t="s">
        <v>102</v>
      </c>
      <c r="F9" s="15"/>
    </row>
    <row r="10" spans="1:6" ht="22.5" customHeight="1" x14ac:dyDescent="0.2">
      <c r="A10" s="5" t="s">
        <v>75</v>
      </c>
      <c r="C10" s="5" t="s">
        <v>105</v>
      </c>
      <c r="D10" s="5"/>
      <c r="E10" s="5" t="s">
        <v>75</v>
      </c>
      <c r="F10" s="15"/>
    </row>
    <row r="11" spans="1:6" ht="22.5" customHeight="1" x14ac:dyDescent="0.2">
      <c r="A11" s="5" t="s">
        <v>75</v>
      </c>
      <c r="C11" s="5" t="s">
        <v>75</v>
      </c>
      <c r="D11" s="5"/>
      <c r="E11" s="5" t="s">
        <v>109</v>
      </c>
      <c r="F11" s="15"/>
    </row>
    <row r="12" spans="1:6" ht="22.5" customHeight="1" x14ac:dyDescent="0.2">
      <c r="A12" s="5" t="s">
        <v>110</v>
      </c>
      <c r="C12" s="5" t="s">
        <v>111</v>
      </c>
      <c r="D12" s="5"/>
      <c r="E12" s="5" t="s">
        <v>109</v>
      </c>
      <c r="F12" s="15"/>
    </row>
    <row r="13" spans="1:6" ht="22.5" customHeight="1" x14ac:dyDescent="0.2">
      <c r="A13" s="5" t="s">
        <v>75</v>
      </c>
      <c r="C13" s="5" t="s">
        <v>75</v>
      </c>
      <c r="D13" s="5"/>
      <c r="E13" s="5" t="s">
        <v>75</v>
      </c>
      <c r="F13" s="15"/>
    </row>
    <row r="14" spans="1:6" ht="22.5" customHeight="1" x14ac:dyDescent="0.2">
      <c r="A14" s="5" t="s">
        <v>75</v>
      </c>
      <c r="B14" s="5"/>
      <c r="C14" s="5" t="s">
        <v>113</v>
      </c>
      <c r="D14" s="5"/>
      <c r="E14" s="5" t="s">
        <v>114</v>
      </c>
      <c r="F14" s="15"/>
    </row>
    <row r="15" spans="1:6" ht="22.5" customHeight="1" x14ac:dyDescent="0.2">
      <c r="A15" s="5" t="s">
        <v>75</v>
      </c>
      <c r="B15" s="5"/>
      <c r="C15" s="5" t="s">
        <v>115</v>
      </c>
      <c r="D15" s="5"/>
      <c r="E15" s="5" t="s">
        <v>116</v>
      </c>
      <c r="F15" s="15"/>
    </row>
    <row r="16" spans="1:6" ht="22.5" customHeight="1" x14ac:dyDescent="0.2">
      <c r="A16" s="5" t="s">
        <v>75</v>
      </c>
      <c r="B16" s="5"/>
      <c r="C16" s="5" t="s">
        <v>75</v>
      </c>
      <c r="D16" s="5"/>
      <c r="E16" s="5" t="s">
        <v>75</v>
      </c>
      <c r="F16" s="15"/>
    </row>
    <row r="17" spans="1:6" ht="22.5" customHeight="1" x14ac:dyDescent="0.2">
      <c r="A17" s="5" t="s">
        <v>75</v>
      </c>
      <c r="B17" s="5"/>
      <c r="C17" s="5" t="s">
        <v>75</v>
      </c>
      <c r="D17" s="5"/>
      <c r="E17" s="5" t="s">
        <v>75</v>
      </c>
      <c r="F17" s="15"/>
    </row>
    <row r="18" spans="1:6" ht="22.5" customHeight="1" x14ac:dyDescent="0.2">
      <c r="A18" s="5" t="s">
        <v>75</v>
      </c>
      <c r="B18" s="5"/>
      <c r="C18" s="5" t="s">
        <v>75</v>
      </c>
      <c r="D18" s="5"/>
      <c r="E18" s="5" t="s">
        <v>109</v>
      </c>
      <c r="F18" s="15"/>
    </row>
    <row r="19" spans="1:6" ht="22.5" customHeight="1" x14ac:dyDescent="0.2">
      <c r="A19" s="5" t="s">
        <v>117</v>
      </c>
      <c r="B19" s="5"/>
      <c r="C19" s="5" t="s">
        <v>75</v>
      </c>
      <c r="D19" s="5"/>
      <c r="E19" s="5" t="s">
        <v>85</v>
      </c>
      <c r="F19" s="15"/>
    </row>
    <row r="20" spans="1:6" ht="22.5" customHeight="1" x14ac:dyDescent="0.2">
      <c r="A20" s="5" t="s">
        <v>75</v>
      </c>
      <c r="B20" s="5"/>
      <c r="C20" s="5" t="s">
        <v>120</v>
      </c>
      <c r="D20" s="5"/>
      <c r="E20" s="5" t="s">
        <v>75</v>
      </c>
      <c r="F20" s="15"/>
    </row>
    <row r="21" spans="1:6" ht="22.5" customHeight="1" x14ac:dyDescent="0.2">
      <c r="A21" s="5" t="s">
        <v>75</v>
      </c>
      <c r="B21" s="5"/>
      <c r="C21" s="5" t="s">
        <v>75</v>
      </c>
      <c r="D21" s="5"/>
      <c r="E21" s="5" t="s">
        <v>75</v>
      </c>
      <c r="F21" s="15"/>
    </row>
    <row r="22" spans="1:6" ht="22.5" customHeight="1" x14ac:dyDescent="0.2">
      <c r="A22" s="5" t="s">
        <v>75</v>
      </c>
      <c r="B22" s="5"/>
      <c r="C22" s="5" t="s">
        <v>75</v>
      </c>
      <c r="D22" s="5"/>
      <c r="E22" s="5" t="s">
        <v>75</v>
      </c>
      <c r="F22" s="15"/>
    </row>
    <row r="23" spans="1:6" ht="22.5" customHeight="1" x14ac:dyDescent="0.2">
      <c r="A23" s="5" t="s">
        <v>110</v>
      </c>
      <c r="B23" s="5"/>
      <c r="C23" s="5" t="s">
        <v>75</v>
      </c>
      <c r="D23" s="5"/>
      <c r="E23" s="5" t="s">
        <v>85</v>
      </c>
      <c r="F23" s="15"/>
    </row>
    <row r="24" spans="1:6" ht="22.5" customHeight="1" x14ac:dyDescent="0.2">
      <c r="A24" s="5" t="s">
        <v>125</v>
      </c>
      <c r="B24" s="5"/>
      <c r="C24" s="5" t="s">
        <v>126</v>
      </c>
      <c r="D24" s="5"/>
      <c r="E24" s="5" t="s">
        <v>75</v>
      </c>
      <c r="F24" s="15"/>
    </row>
    <row r="25" spans="1:6" ht="22.5" customHeight="1" x14ac:dyDescent="0.2">
      <c r="A25" s="5" t="s">
        <v>75</v>
      </c>
      <c r="B25" s="5"/>
      <c r="C25" s="5" t="s">
        <v>75</v>
      </c>
      <c r="D25" s="5"/>
      <c r="E25" s="5" t="s">
        <v>75</v>
      </c>
      <c r="F25" s="15"/>
    </row>
    <row r="26" spans="1:6" ht="22.5" customHeight="1" x14ac:dyDescent="0.2">
      <c r="A26" s="5" t="s">
        <v>75</v>
      </c>
      <c r="B26" s="5"/>
      <c r="C26" s="5" t="s">
        <v>75</v>
      </c>
      <c r="D26" s="5"/>
      <c r="E26" s="5" t="s">
        <v>75</v>
      </c>
      <c r="F26" s="15"/>
    </row>
    <row r="27" spans="1:6" ht="22.5" customHeight="1" x14ac:dyDescent="0.2">
      <c r="A27" s="5" t="s">
        <v>75</v>
      </c>
      <c r="B27" s="5"/>
      <c r="C27" s="5" t="s">
        <v>75</v>
      </c>
      <c r="D27" s="5"/>
      <c r="E27" s="5" t="s">
        <v>85</v>
      </c>
      <c r="F27" s="15"/>
    </row>
    <row r="28" spans="1:6" ht="22.5" customHeight="1" x14ac:dyDescent="0.2">
      <c r="A28" s="5" t="s">
        <v>75</v>
      </c>
      <c r="B28" s="5"/>
      <c r="C28" s="5" t="s">
        <v>75</v>
      </c>
      <c r="D28" s="5"/>
      <c r="E28" s="5" t="s">
        <v>85</v>
      </c>
      <c r="F28" s="15"/>
    </row>
    <row r="29" spans="1:6" ht="22.5" customHeight="1" x14ac:dyDescent="0.2">
      <c r="A29" s="5" t="s">
        <v>75</v>
      </c>
      <c r="B29" s="5"/>
      <c r="C29" s="5" t="s">
        <v>75</v>
      </c>
      <c r="D29" s="5"/>
      <c r="E29" s="5" t="s">
        <v>75</v>
      </c>
      <c r="F29" s="15"/>
    </row>
    <row r="30" spans="1:6" ht="22.5" customHeight="1" x14ac:dyDescent="0.2">
      <c r="A30" s="5" t="s">
        <v>75</v>
      </c>
      <c r="B30" s="5"/>
      <c r="C30" s="5" t="s">
        <v>75</v>
      </c>
      <c r="D30" s="5"/>
      <c r="E30" s="5" t="s">
        <v>75</v>
      </c>
      <c r="F30" s="15"/>
    </row>
    <row r="31" spans="1:6" ht="22.5" customHeight="1" x14ac:dyDescent="0.2">
      <c r="A31" s="5" t="s">
        <v>75</v>
      </c>
      <c r="B31" s="5"/>
      <c r="C31" s="5" t="s">
        <v>134</v>
      </c>
      <c r="D31" s="5"/>
      <c r="E31" s="5" t="s">
        <v>75</v>
      </c>
      <c r="F31" s="15"/>
    </row>
    <row r="32" spans="1:6" ht="22.5" customHeight="1" x14ac:dyDescent="0.2">
      <c r="A32" s="5" t="s">
        <v>75</v>
      </c>
      <c r="B32" s="5"/>
      <c r="C32" s="5" t="s">
        <v>75</v>
      </c>
      <c r="D32" s="5"/>
      <c r="E32" s="5" t="s">
        <v>75</v>
      </c>
      <c r="F32" s="15"/>
    </row>
    <row r="33" spans="1:6" ht="22.5" customHeight="1" x14ac:dyDescent="0.2">
      <c r="A33" s="5" t="s">
        <v>75</v>
      </c>
      <c r="B33" s="5"/>
      <c r="C33" s="5" t="s">
        <v>75</v>
      </c>
      <c r="D33" s="5"/>
      <c r="E33" s="5" t="s">
        <v>75</v>
      </c>
      <c r="F33" s="15"/>
    </row>
    <row r="34" spans="1:6" ht="22.5" customHeight="1" x14ac:dyDescent="0.2">
      <c r="A34" s="5" t="s">
        <v>110</v>
      </c>
      <c r="B34" s="5"/>
      <c r="C34" s="5" t="s">
        <v>75</v>
      </c>
      <c r="D34" s="5"/>
      <c r="E34" s="5" t="s">
        <v>75</v>
      </c>
      <c r="F34" s="15"/>
    </row>
    <row r="35" spans="1:6" ht="22.5" customHeight="1" x14ac:dyDescent="0.2">
      <c r="A35" s="5" t="s">
        <v>75</v>
      </c>
      <c r="B35" s="5"/>
      <c r="C35" s="5" t="s">
        <v>75</v>
      </c>
      <c r="D35" s="5"/>
      <c r="E35" s="5" t="s">
        <v>75</v>
      </c>
      <c r="F35" s="15"/>
    </row>
    <row r="36" spans="1:6" ht="22.5" customHeight="1" x14ac:dyDescent="0.2">
      <c r="A36" s="5" t="s">
        <v>75</v>
      </c>
      <c r="B36" s="5"/>
      <c r="C36" s="5" t="s">
        <v>75</v>
      </c>
      <c r="D36" s="5"/>
      <c r="E36" s="5" t="s">
        <v>75</v>
      </c>
      <c r="F36" s="15"/>
    </row>
    <row r="37" spans="1:6" ht="22.5" customHeight="1" x14ac:dyDescent="0.2">
      <c r="A37" s="5" t="s">
        <v>140</v>
      </c>
      <c r="B37" s="5"/>
      <c r="C37" s="5" t="s">
        <v>75</v>
      </c>
      <c r="D37" s="5"/>
      <c r="E37" s="5" t="s">
        <v>75</v>
      </c>
      <c r="F37" s="15"/>
    </row>
    <row r="38" spans="1:6" ht="22.5" customHeight="1" x14ac:dyDescent="0.2">
      <c r="A38" s="5" t="s">
        <v>75</v>
      </c>
      <c r="B38" s="5"/>
      <c r="C38" s="5" t="s">
        <v>75</v>
      </c>
      <c r="D38" s="5"/>
      <c r="E38" s="5" t="s">
        <v>75</v>
      </c>
      <c r="F38" s="15"/>
    </row>
    <row r="39" spans="1:6" ht="22.5" customHeight="1" x14ac:dyDescent="0.2">
      <c r="A39" s="5" t="s">
        <v>110</v>
      </c>
      <c r="B39" s="5"/>
      <c r="C39" s="5" t="s">
        <v>144</v>
      </c>
      <c r="D39" s="5"/>
      <c r="E39" s="5" t="s">
        <v>75</v>
      </c>
      <c r="F39" s="15"/>
    </row>
    <row r="40" spans="1:6" ht="22.5" customHeight="1" x14ac:dyDescent="0.2">
      <c r="A40" s="5" t="s">
        <v>110</v>
      </c>
      <c r="B40" s="5"/>
      <c r="C40" s="5" t="s">
        <v>75</v>
      </c>
      <c r="D40" s="5"/>
      <c r="E40" s="5" t="s">
        <v>75</v>
      </c>
      <c r="F40" s="15"/>
    </row>
    <row r="41" spans="1:6" ht="22.5" customHeight="1" x14ac:dyDescent="0.2">
      <c r="A41" s="5" t="s">
        <v>75</v>
      </c>
      <c r="B41" s="5"/>
      <c r="C41" s="5" t="s">
        <v>105</v>
      </c>
      <c r="D41" s="5"/>
      <c r="E41" s="5" t="s">
        <v>75</v>
      </c>
      <c r="F41" s="15"/>
    </row>
    <row r="42" spans="1:6" ht="22.5" customHeight="1" x14ac:dyDescent="0.2">
      <c r="A42" s="5" t="s">
        <v>75</v>
      </c>
      <c r="B42" s="5"/>
      <c r="C42" s="5" t="s">
        <v>113</v>
      </c>
      <c r="D42" s="5"/>
      <c r="E42" s="5" t="s">
        <v>75</v>
      </c>
      <c r="F42" s="15"/>
    </row>
    <row r="43" spans="1:6" ht="22.5" customHeight="1" x14ac:dyDescent="0.2">
      <c r="A43" s="5" t="s">
        <v>75</v>
      </c>
      <c r="B43" s="5"/>
      <c r="C43" s="5" t="s">
        <v>75</v>
      </c>
      <c r="D43" s="5"/>
      <c r="E43" s="5" t="s">
        <v>75</v>
      </c>
      <c r="F43" s="15"/>
    </row>
    <row r="44" spans="1:6" ht="22.5" customHeight="1" x14ac:dyDescent="0.2">
      <c r="A44" s="5" t="s">
        <v>125</v>
      </c>
      <c r="B44" s="5"/>
      <c r="C44" s="5" t="s">
        <v>105</v>
      </c>
      <c r="D44" s="5"/>
      <c r="E44" s="5" t="s">
        <v>75</v>
      </c>
      <c r="F44" s="15"/>
    </row>
    <row r="45" spans="1:6" ht="22.5" customHeight="1" x14ac:dyDescent="0.2">
      <c r="A45" s="5" t="s">
        <v>75</v>
      </c>
      <c r="B45" s="5"/>
      <c r="C45" s="5" t="s">
        <v>75</v>
      </c>
      <c r="D45" s="5"/>
      <c r="E45" s="5" t="s">
        <v>75</v>
      </c>
      <c r="F45" s="15"/>
    </row>
    <row r="46" spans="1:6" ht="22.5" customHeight="1" x14ac:dyDescent="0.2">
      <c r="A46" s="5" t="s">
        <v>75</v>
      </c>
      <c r="B46" s="5"/>
      <c r="C46" s="5" t="s">
        <v>75</v>
      </c>
      <c r="D46" s="5"/>
      <c r="E46" s="5" t="s">
        <v>75</v>
      </c>
      <c r="F46" s="15"/>
    </row>
    <row r="47" spans="1:6" ht="22.5" customHeight="1" x14ac:dyDescent="0.2">
      <c r="A47" s="5" t="s">
        <v>75</v>
      </c>
      <c r="B47" s="5"/>
      <c r="C47" s="5" t="s">
        <v>75</v>
      </c>
      <c r="D47" s="5"/>
      <c r="E47" s="5" t="s">
        <v>75</v>
      </c>
      <c r="F47" s="15"/>
    </row>
    <row r="48" spans="1:6" ht="22.5" customHeight="1" x14ac:dyDescent="0.2">
      <c r="A48" s="5" t="s">
        <v>75</v>
      </c>
      <c r="B48" s="5"/>
      <c r="C48" s="5" t="s">
        <v>113</v>
      </c>
      <c r="D48" s="5"/>
      <c r="E48" s="5" t="s">
        <v>75</v>
      </c>
      <c r="F48" s="15"/>
    </row>
    <row r="49" spans="1:6" ht="22.5" customHeight="1" x14ac:dyDescent="0.2">
      <c r="A49" s="5" t="s">
        <v>75</v>
      </c>
      <c r="B49" s="5"/>
      <c r="C49" s="5" t="s">
        <v>75</v>
      </c>
      <c r="D49" s="5"/>
      <c r="E49" s="5" t="s">
        <v>75</v>
      </c>
      <c r="F49" s="15"/>
    </row>
    <row r="50" spans="1:6" ht="22.5" customHeight="1" x14ac:dyDescent="0.2">
      <c r="A50" s="5" t="s">
        <v>94</v>
      </c>
      <c r="B50" s="5"/>
      <c r="C50" s="5" t="s">
        <v>75</v>
      </c>
      <c r="D50" s="5"/>
      <c r="E50" s="5" t="s">
        <v>75</v>
      </c>
      <c r="F50" s="15"/>
    </row>
    <row r="51" spans="1:6" ht="22.5" customHeight="1" x14ac:dyDescent="0.2">
      <c r="A51" s="5" t="s">
        <v>75</v>
      </c>
      <c r="B51" s="5"/>
      <c r="C51" s="5" t="s">
        <v>75</v>
      </c>
      <c r="D51" s="5"/>
      <c r="E51" s="5" t="s">
        <v>75</v>
      </c>
      <c r="F51" s="15"/>
    </row>
    <row r="52" spans="1:6" ht="22.5" customHeight="1" x14ac:dyDescent="0.2">
      <c r="A52" s="5" t="s">
        <v>75</v>
      </c>
      <c r="B52" s="5"/>
      <c r="C52" s="5" t="s">
        <v>75</v>
      </c>
      <c r="D52" s="5"/>
      <c r="E52" s="5" t="s">
        <v>75</v>
      </c>
      <c r="F52" s="15"/>
    </row>
    <row r="53" spans="1:6" ht="22.5" customHeight="1" x14ac:dyDescent="0.2">
      <c r="A53" s="5" t="s">
        <v>75</v>
      </c>
      <c r="B53" s="5"/>
      <c r="C53" s="5" t="s">
        <v>75</v>
      </c>
      <c r="D53" s="5"/>
      <c r="E53" s="5" t="s">
        <v>75</v>
      </c>
      <c r="F53" s="15"/>
    </row>
    <row r="56" spans="1:6" ht="12.75" x14ac:dyDescent="0.2">
      <c r="C56" s="22"/>
    </row>
    <row r="57" spans="1:6" ht="12.75" x14ac:dyDescent="0.2">
      <c r="A57" s="22"/>
      <c r="C57" s="22"/>
      <c r="E57" s="22"/>
    </row>
    <row r="64" spans="1:6" ht="12.75" x14ac:dyDescent="0.2">
      <c r="A64" s="22" t="s">
        <v>75</v>
      </c>
      <c r="B64" s="17">
        <f>COUNTIF(A$2:A53,A64)+1</f>
        <v>40</v>
      </c>
    </row>
    <row r="65" spans="1:3" ht="12.75" x14ac:dyDescent="0.2">
      <c r="A65" s="4" t="s">
        <v>110</v>
      </c>
      <c r="B65" s="17">
        <f t="shared" ref="B65:B68" si="0">COUNTIF(A$2:A1000,A65)</f>
        <v>6</v>
      </c>
    </row>
    <row r="66" spans="1:3" ht="12.75" x14ac:dyDescent="0.2">
      <c r="A66" s="4" t="s">
        <v>125</v>
      </c>
      <c r="B66" s="17">
        <f t="shared" si="0"/>
        <v>3</v>
      </c>
    </row>
    <row r="67" spans="1:3" ht="12.75" x14ac:dyDescent="0.2">
      <c r="A67" s="4" t="s">
        <v>117</v>
      </c>
      <c r="B67" s="17">
        <f t="shared" si="0"/>
        <v>2</v>
      </c>
    </row>
    <row r="68" spans="1:3" ht="12.75" x14ac:dyDescent="0.2">
      <c r="A68" s="4" t="s">
        <v>160</v>
      </c>
      <c r="B68" s="17">
        <f t="shared" si="0"/>
        <v>1</v>
      </c>
    </row>
    <row r="69" spans="1:3" ht="12.75" x14ac:dyDescent="0.2">
      <c r="C69" s="23"/>
    </row>
    <row r="70" spans="1:3" ht="12.75" x14ac:dyDescent="0.2">
      <c r="C70" s="23"/>
    </row>
    <row r="71" spans="1:3" ht="12.75" x14ac:dyDescent="0.2">
      <c r="C71" s="23"/>
    </row>
    <row r="72" spans="1:3" ht="12.75" x14ac:dyDescent="0.2">
      <c r="A72" s="4" t="s">
        <v>75</v>
      </c>
      <c r="B72" s="17">
        <v>37</v>
      </c>
      <c r="C72" s="23"/>
    </row>
    <row r="73" spans="1:3" ht="12.75" x14ac:dyDescent="0.2">
      <c r="A73" s="4" t="s">
        <v>105</v>
      </c>
      <c r="B73" s="17">
        <v>7</v>
      </c>
      <c r="C73" s="23"/>
    </row>
    <row r="74" spans="1:3" ht="12.75" x14ac:dyDescent="0.2">
      <c r="A74" s="4" t="s">
        <v>111</v>
      </c>
      <c r="B74" s="17">
        <v>3</v>
      </c>
      <c r="C74" s="23"/>
    </row>
    <row r="75" spans="1:3" ht="12.75" x14ac:dyDescent="0.2">
      <c r="A75" s="4" t="s">
        <v>161</v>
      </c>
      <c r="B75" s="17">
        <v>2</v>
      </c>
      <c r="C75" s="23"/>
    </row>
    <row r="76" spans="1:3" ht="12.75" x14ac:dyDescent="0.2">
      <c r="A76" s="4" t="s">
        <v>162</v>
      </c>
      <c r="B76" s="4">
        <v>1</v>
      </c>
      <c r="C76" s="23"/>
    </row>
    <row r="77" spans="1:3" ht="12.75" x14ac:dyDescent="0.2">
      <c r="A77" s="4" t="s">
        <v>163</v>
      </c>
      <c r="B77" s="4">
        <v>1</v>
      </c>
      <c r="C77" s="23"/>
    </row>
    <row r="78" spans="1:3" ht="12.75" x14ac:dyDescent="0.2">
      <c r="A78" s="4" t="s">
        <v>164</v>
      </c>
      <c r="B78" s="4">
        <v>1</v>
      </c>
    </row>
    <row r="79" spans="1:3" ht="12.75" x14ac:dyDescent="0.2">
      <c r="A79" s="17" t="s">
        <v>144</v>
      </c>
      <c r="B79" s="4">
        <v>1</v>
      </c>
    </row>
    <row r="80" spans="1:3" ht="12.75" x14ac:dyDescent="0.2">
      <c r="A80" s="4" t="s">
        <v>165</v>
      </c>
      <c r="B80" s="4">
        <v>1</v>
      </c>
    </row>
    <row r="81" spans="1:2" ht="12.75" x14ac:dyDescent="0.2">
      <c r="A81" s="4" t="s">
        <v>166</v>
      </c>
      <c r="B81" s="17">
        <v>1</v>
      </c>
    </row>
    <row r="82" spans="1:2" ht="12.75" x14ac:dyDescent="0.2">
      <c r="A82" s="4" t="s">
        <v>167</v>
      </c>
      <c r="B82" s="4">
        <v>1</v>
      </c>
    </row>
    <row r="85" spans="1:2" ht="12.75" x14ac:dyDescent="0.2">
      <c r="A85" s="4" t="s">
        <v>75</v>
      </c>
      <c r="B85" s="17">
        <v>41</v>
      </c>
    </row>
    <row r="86" spans="1:2" ht="12.75" x14ac:dyDescent="0.2">
      <c r="A86" s="4" t="s">
        <v>85</v>
      </c>
      <c r="B86" s="17">
        <v>8</v>
      </c>
    </row>
    <row r="87" spans="1:2" ht="12.75" x14ac:dyDescent="0.2">
      <c r="A87" s="4" t="s">
        <v>109</v>
      </c>
      <c r="B87" s="17">
        <v>5</v>
      </c>
    </row>
    <row r="88" spans="1:2" ht="12.75" x14ac:dyDescent="0.2">
      <c r="A88" s="4" t="s">
        <v>168</v>
      </c>
      <c r="B88" s="4">
        <v>1</v>
      </c>
    </row>
    <row r="89" spans="1:2" ht="12.75" x14ac:dyDescent="0.2">
      <c r="A89" s="4" t="s">
        <v>163</v>
      </c>
      <c r="B89" s="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56"/>
  <sheetViews>
    <sheetView workbookViewId="0"/>
  </sheetViews>
  <sheetFormatPr defaultColWidth="12.5703125" defaultRowHeight="15.75" customHeight="1" x14ac:dyDescent="0.2"/>
  <cols>
    <col min="1" max="1" width="25.42578125" customWidth="1"/>
  </cols>
  <sheetData>
    <row r="1" spans="1:1" ht="22.5" customHeight="1" x14ac:dyDescent="0.2">
      <c r="A1" s="1" t="s">
        <v>25</v>
      </c>
    </row>
    <row r="2" spans="1:1" ht="22.5" customHeight="1" x14ac:dyDescent="0.2">
      <c r="A2" s="2" t="s">
        <v>80</v>
      </c>
    </row>
    <row r="3" spans="1:1" ht="22.5" customHeight="1" x14ac:dyDescent="0.2">
      <c r="A3" s="2" t="s">
        <v>80</v>
      </c>
    </row>
    <row r="4" spans="1:1" ht="22.5" customHeight="1" x14ac:dyDescent="0.2">
      <c r="A4" s="2" t="s">
        <v>80</v>
      </c>
    </row>
    <row r="5" spans="1:1" ht="22.5" customHeight="1" x14ac:dyDescent="0.2">
      <c r="A5" s="2" t="s">
        <v>82</v>
      </c>
    </row>
    <row r="6" spans="1:1" ht="22.5" customHeight="1" x14ac:dyDescent="0.2">
      <c r="A6" s="2" t="s">
        <v>80</v>
      </c>
    </row>
    <row r="7" spans="1:1" ht="22.5" customHeight="1" x14ac:dyDescent="0.2">
      <c r="A7" s="5" t="s">
        <v>80</v>
      </c>
    </row>
    <row r="8" spans="1:1" ht="22.5" customHeight="1" x14ac:dyDescent="0.2">
      <c r="A8" s="5" t="s">
        <v>80</v>
      </c>
    </row>
    <row r="9" spans="1:1" ht="22.5" customHeight="1" x14ac:dyDescent="0.2">
      <c r="A9" s="5" t="s">
        <v>82</v>
      </c>
    </row>
    <row r="10" spans="1:1" ht="22.5" customHeight="1" x14ac:dyDescent="0.2">
      <c r="A10" s="5" t="s">
        <v>80</v>
      </c>
    </row>
    <row r="11" spans="1:1" ht="22.5" customHeight="1" x14ac:dyDescent="0.2">
      <c r="A11" s="5" t="s">
        <v>80</v>
      </c>
    </row>
    <row r="12" spans="1:1" ht="22.5" customHeight="1" x14ac:dyDescent="0.2">
      <c r="A12" s="5" t="s">
        <v>80</v>
      </c>
    </row>
    <row r="13" spans="1:1" ht="22.5" customHeight="1" x14ac:dyDescent="0.2">
      <c r="A13" s="5" t="s">
        <v>82</v>
      </c>
    </row>
    <row r="14" spans="1:1" ht="22.5" customHeight="1" x14ac:dyDescent="0.2">
      <c r="A14" s="5" t="s">
        <v>80</v>
      </c>
    </row>
    <row r="15" spans="1:1" ht="22.5" customHeight="1" x14ac:dyDescent="0.2">
      <c r="A15" s="5" t="s">
        <v>80</v>
      </c>
    </row>
    <row r="16" spans="1:1" ht="22.5" customHeight="1" x14ac:dyDescent="0.2">
      <c r="A16" s="5" t="s">
        <v>82</v>
      </c>
    </row>
    <row r="17" spans="1:1" ht="22.5" customHeight="1" x14ac:dyDescent="0.2">
      <c r="A17" s="5" t="s">
        <v>80</v>
      </c>
    </row>
    <row r="18" spans="1:1" ht="22.5" customHeight="1" x14ac:dyDescent="0.2">
      <c r="A18" s="5" t="s">
        <v>80</v>
      </c>
    </row>
    <row r="19" spans="1:1" ht="22.5" customHeight="1" x14ac:dyDescent="0.2">
      <c r="A19" s="5" t="s">
        <v>80</v>
      </c>
    </row>
    <row r="20" spans="1:1" ht="22.5" customHeight="1" x14ac:dyDescent="0.2">
      <c r="A20" s="5" t="s">
        <v>82</v>
      </c>
    </row>
    <row r="21" spans="1:1" ht="22.5" customHeight="1" x14ac:dyDescent="0.2">
      <c r="A21" s="5" t="s">
        <v>82</v>
      </c>
    </row>
    <row r="22" spans="1:1" ht="22.5" customHeight="1" x14ac:dyDescent="0.2">
      <c r="A22" s="5" t="s">
        <v>82</v>
      </c>
    </row>
    <row r="23" spans="1:1" ht="22.5" customHeight="1" x14ac:dyDescent="0.2">
      <c r="A23" s="5" t="s">
        <v>80</v>
      </c>
    </row>
    <row r="24" spans="1:1" ht="22.5" customHeight="1" x14ac:dyDescent="0.2">
      <c r="A24" s="5" t="s">
        <v>82</v>
      </c>
    </row>
    <row r="25" spans="1:1" ht="22.5" customHeight="1" x14ac:dyDescent="0.2">
      <c r="A25" s="5" t="s">
        <v>80</v>
      </c>
    </row>
    <row r="26" spans="1:1" ht="22.5" customHeight="1" x14ac:dyDescent="0.2">
      <c r="A26" s="5" t="s">
        <v>80</v>
      </c>
    </row>
    <row r="27" spans="1:1" ht="22.5" customHeight="1" x14ac:dyDescent="0.2">
      <c r="A27" s="5" t="s">
        <v>80</v>
      </c>
    </row>
    <row r="28" spans="1:1" ht="22.5" customHeight="1" x14ac:dyDescent="0.2">
      <c r="A28" s="5" t="s">
        <v>80</v>
      </c>
    </row>
    <row r="29" spans="1:1" ht="22.5" customHeight="1" x14ac:dyDescent="0.2">
      <c r="A29" s="5" t="s">
        <v>80</v>
      </c>
    </row>
    <row r="30" spans="1:1" ht="22.5" customHeight="1" x14ac:dyDescent="0.2">
      <c r="A30" s="5" t="s">
        <v>82</v>
      </c>
    </row>
    <row r="31" spans="1:1" ht="22.5" customHeight="1" x14ac:dyDescent="0.2">
      <c r="A31" s="5" t="s">
        <v>80</v>
      </c>
    </row>
    <row r="32" spans="1:1" ht="22.5" customHeight="1" x14ac:dyDescent="0.2">
      <c r="A32" s="5" t="s">
        <v>82</v>
      </c>
    </row>
    <row r="33" spans="1:1" ht="22.5" customHeight="1" x14ac:dyDescent="0.2">
      <c r="A33" s="5" t="s">
        <v>82</v>
      </c>
    </row>
    <row r="34" spans="1:1" ht="22.5" customHeight="1" x14ac:dyDescent="0.2">
      <c r="A34" s="5" t="s">
        <v>80</v>
      </c>
    </row>
    <row r="35" spans="1:1" ht="22.5" customHeight="1" x14ac:dyDescent="0.2">
      <c r="A35" s="5" t="s">
        <v>82</v>
      </c>
    </row>
    <row r="36" spans="1:1" ht="22.5" customHeight="1" x14ac:dyDescent="0.2">
      <c r="A36" s="5" t="s">
        <v>80</v>
      </c>
    </row>
    <row r="37" spans="1:1" ht="22.5" customHeight="1" x14ac:dyDescent="0.2">
      <c r="A37" s="5" t="s">
        <v>80</v>
      </c>
    </row>
    <row r="38" spans="1:1" ht="22.5" customHeight="1" x14ac:dyDescent="0.2">
      <c r="A38" s="5" t="s">
        <v>82</v>
      </c>
    </row>
    <row r="39" spans="1:1" ht="22.5" customHeight="1" x14ac:dyDescent="0.2">
      <c r="A39" s="5" t="s">
        <v>82</v>
      </c>
    </row>
    <row r="40" spans="1:1" ht="22.5" customHeight="1" x14ac:dyDescent="0.2">
      <c r="A40" s="5" t="s">
        <v>80</v>
      </c>
    </row>
    <row r="41" spans="1:1" ht="22.5" customHeight="1" x14ac:dyDescent="0.2">
      <c r="A41" s="5" t="s">
        <v>82</v>
      </c>
    </row>
    <row r="42" spans="1:1" ht="22.5" customHeight="1" x14ac:dyDescent="0.2">
      <c r="A42" s="5" t="s">
        <v>82</v>
      </c>
    </row>
    <row r="43" spans="1:1" ht="22.5" customHeight="1" x14ac:dyDescent="0.2">
      <c r="A43" s="5" t="s">
        <v>82</v>
      </c>
    </row>
    <row r="44" spans="1:1" ht="22.5" customHeight="1" x14ac:dyDescent="0.2">
      <c r="A44" s="5" t="s">
        <v>82</v>
      </c>
    </row>
    <row r="45" spans="1:1" ht="22.5" customHeight="1" x14ac:dyDescent="0.2">
      <c r="A45" s="5" t="s">
        <v>80</v>
      </c>
    </row>
    <row r="46" spans="1:1" ht="22.5" customHeight="1" x14ac:dyDescent="0.2">
      <c r="A46" s="5" t="s">
        <v>82</v>
      </c>
    </row>
    <row r="47" spans="1:1" ht="22.5" customHeight="1" x14ac:dyDescent="0.2">
      <c r="A47" s="5" t="s">
        <v>80</v>
      </c>
    </row>
    <row r="48" spans="1:1" ht="22.5" customHeight="1" x14ac:dyDescent="0.2">
      <c r="A48" s="5" t="s">
        <v>82</v>
      </c>
    </row>
    <row r="49" spans="1:1" ht="22.5" customHeight="1" x14ac:dyDescent="0.2">
      <c r="A49" s="5" t="s">
        <v>82</v>
      </c>
    </row>
    <row r="50" spans="1:1" ht="22.5" customHeight="1" x14ac:dyDescent="0.2">
      <c r="A50" s="5" t="s">
        <v>82</v>
      </c>
    </row>
    <row r="51" spans="1:1" ht="22.5" customHeight="1" x14ac:dyDescent="0.2">
      <c r="A51" s="5" t="s">
        <v>80</v>
      </c>
    </row>
    <row r="52" spans="1:1" ht="22.5" customHeight="1" x14ac:dyDescent="0.2">
      <c r="A52" s="5" t="s">
        <v>82</v>
      </c>
    </row>
    <row r="53" spans="1:1" ht="22.5" customHeight="1" x14ac:dyDescent="0.2">
      <c r="A53" s="5" t="s">
        <v>80</v>
      </c>
    </row>
    <row r="54" spans="1:1" ht="22.5" customHeight="1" x14ac:dyDescent="0.2"/>
    <row r="55" spans="1:1" ht="12.75" x14ac:dyDescent="0.2">
      <c r="A55" s="17">
        <f>COUNTIF(Table4[Stadionda son izlədiyiniz oyunu sizinlə gələnlərin arasında uşaq var idi?
bir neçə uşaq gəlmişdirsə, sayı "digər" bölməsində qeyd edə bilərsiniz],A53)</f>
        <v>29</v>
      </c>
    </row>
    <row r="56" spans="1:1" ht="12.75" x14ac:dyDescent="0.2">
      <c r="A56" s="17">
        <f>COUNTIF(Table4[Stadionda son izlədiyiniz oyunu sizinlə gələnlərin arasında uşaq var idi?
bir neçə uşaq gəlmişdirsə, sayı "digər" bölməsində qeyd edə bilərsiniz],A52)</f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8"/>
  <sheetViews>
    <sheetView workbookViewId="0"/>
  </sheetViews>
  <sheetFormatPr defaultColWidth="12.5703125" defaultRowHeight="15.75" customHeight="1" x14ac:dyDescent="0.2"/>
  <cols>
    <col min="1" max="1" width="15" customWidth="1"/>
  </cols>
  <sheetData>
    <row r="1" spans="1:2" ht="22.5" customHeight="1" x14ac:dyDescent="0.2">
      <c r="A1" s="8" t="s">
        <v>23</v>
      </c>
      <c r="B1" s="12" t="s">
        <v>124</v>
      </c>
    </row>
    <row r="2" spans="1:2" ht="22.5" customHeight="1" x14ac:dyDescent="0.2">
      <c r="A2" s="2">
        <v>2</v>
      </c>
      <c r="B2" s="2">
        <v>2</v>
      </c>
    </row>
    <row r="3" spans="1:2" ht="22.5" customHeight="1" x14ac:dyDescent="0.2">
      <c r="A3" s="2">
        <v>3</v>
      </c>
      <c r="B3" s="2">
        <v>3</v>
      </c>
    </row>
    <row r="4" spans="1:2" ht="22.5" customHeight="1" x14ac:dyDescent="0.2">
      <c r="A4" s="2">
        <v>4</v>
      </c>
      <c r="B4" s="2">
        <v>4</v>
      </c>
    </row>
    <row r="5" spans="1:2" ht="22.5" customHeight="1" x14ac:dyDescent="0.2">
      <c r="A5" s="2">
        <v>1</v>
      </c>
      <c r="B5" s="2">
        <v>1</v>
      </c>
    </row>
    <row r="6" spans="1:2" ht="22.5" customHeight="1" x14ac:dyDescent="0.2">
      <c r="A6" s="2">
        <v>1</v>
      </c>
      <c r="B6" s="2">
        <v>1</v>
      </c>
    </row>
    <row r="7" spans="1:2" ht="22.5" customHeight="1" x14ac:dyDescent="0.2">
      <c r="A7" s="5">
        <v>1</v>
      </c>
      <c r="B7" s="5">
        <v>1</v>
      </c>
    </row>
    <row r="8" spans="1:2" ht="22.5" customHeight="1" x14ac:dyDescent="0.2">
      <c r="A8" s="5" t="s">
        <v>127</v>
      </c>
      <c r="B8" s="2">
        <v>10</v>
      </c>
    </row>
    <row r="9" spans="1:2" ht="22.5" customHeight="1" x14ac:dyDescent="0.2">
      <c r="A9" s="5" t="s">
        <v>128</v>
      </c>
      <c r="B9" s="2">
        <v>0</v>
      </c>
    </row>
    <row r="10" spans="1:2" ht="22.5" customHeight="1" x14ac:dyDescent="0.2">
      <c r="A10" s="5" t="s">
        <v>127</v>
      </c>
      <c r="B10" s="2">
        <v>10</v>
      </c>
    </row>
    <row r="11" spans="1:2" ht="22.5" customHeight="1" x14ac:dyDescent="0.2">
      <c r="A11" s="5">
        <v>6</v>
      </c>
      <c r="B11" s="5">
        <v>6</v>
      </c>
    </row>
    <row r="12" spans="1:2" ht="22.5" customHeight="1" x14ac:dyDescent="0.2">
      <c r="A12" s="5">
        <v>2</v>
      </c>
      <c r="B12" s="5">
        <v>2</v>
      </c>
    </row>
    <row r="13" spans="1:2" ht="22.5" customHeight="1" x14ac:dyDescent="0.2">
      <c r="A13" s="5">
        <v>3</v>
      </c>
      <c r="B13" s="5">
        <v>3</v>
      </c>
    </row>
    <row r="14" spans="1:2" ht="22.5" customHeight="1" x14ac:dyDescent="0.2">
      <c r="A14" s="5">
        <v>6</v>
      </c>
      <c r="B14" s="5">
        <v>6</v>
      </c>
    </row>
    <row r="15" spans="1:2" ht="22.5" customHeight="1" x14ac:dyDescent="0.2">
      <c r="A15" s="5">
        <v>5</v>
      </c>
      <c r="B15" s="5">
        <v>5</v>
      </c>
    </row>
    <row r="16" spans="1:2" ht="22.5" customHeight="1" x14ac:dyDescent="0.2">
      <c r="A16" s="5">
        <v>12</v>
      </c>
      <c r="B16" s="5">
        <v>12</v>
      </c>
    </row>
    <row r="17" spans="1:2" ht="22.5" customHeight="1" x14ac:dyDescent="0.2">
      <c r="A17" s="5" t="s">
        <v>131</v>
      </c>
      <c r="B17" s="2">
        <v>2</v>
      </c>
    </row>
    <row r="18" spans="1:2" ht="22.5" customHeight="1" x14ac:dyDescent="0.2">
      <c r="A18" s="5">
        <v>4</v>
      </c>
      <c r="B18" s="5">
        <v>4</v>
      </c>
    </row>
    <row r="19" spans="1:2" ht="22.5" customHeight="1" x14ac:dyDescent="0.2">
      <c r="A19" s="5">
        <v>1</v>
      </c>
      <c r="B19" s="5">
        <v>1</v>
      </c>
    </row>
    <row r="20" spans="1:2" ht="22.5" customHeight="1" x14ac:dyDescent="0.2">
      <c r="A20" s="5" t="s">
        <v>132</v>
      </c>
      <c r="B20" s="15"/>
    </row>
    <row r="21" spans="1:2" ht="22.5" customHeight="1" x14ac:dyDescent="0.2">
      <c r="A21" s="5">
        <v>5</v>
      </c>
      <c r="B21" s="5">
        <v>5</v>
      </c>
    </row>
    <row r="22" spans="1:2" ht="22.5" customHeight="1" x14ac:dyDescent="0.2">
      <c r="A22" s="5">
        <v>4</v>
      </c>
      <c r="B22" s="5">
        <v>4</v>
      </c>
    </row>
    <row r="23" spans="1:2" ht="22.5" customHeight="1" x14ac:dyDescent="0.2">
      <c r="A23" s="5">
        <v>5</v>
      </c>
      <c r="B23" s="5">
        <v>5</v>
      </c>
    </row>
    <row r="24" spans="1:2" ht="22.5" customHeight="1" x14ac:dyDescent="0.2">
      <c r="A24" s="5">
        <v>5</v>
      </c>
      <c r="B24" s="5">
        <v>5</v>
      </c>
    </row>
    <row r="25" spans="1:2" ht="22.5" customHeight="1" x14ac:dyDescent="0.2">
      <c r="A25" s="5">
        <v>3</v>
      </c>
      <c r="B25" s="5">
        <v>3</v>
      </c>
    </row>
    <row r="26" spans="1:2" ht="22.5" customHeight="1" x14ac:dyDescent="0.2">
      <c r="A26" s="5">
        <v>4</v>
      </c>
      <c r="B26" s="5">
        <v>4</v>
      </c>
    </row>
    <row r="27" spans="1:2" ht="22.5" customHeight="1" x14ac:dyDescent="0.2">
      <c r="A27" s="5">
        <v>5</v>
      </c>
      <c r="B27" s="5">
        <v>5</v>
      </c>
    </row>
    <row r="28" spans="1:2" ht="22.5" customHeight="1" x14ac:dyDescent="0.2">
      <c r="A28" s="5">
        <v>2</v>
      </c>
      <c r="B28" s="5">
        <v>2</v>
      </c>
    </row>
    <row r="29" spans="1:2" ht="22.5" customHeight="1" x14ac:dyDescent="0.2">
      <c r="A29" s="5">
        <v>5</v>
      </c>
      <c r="B29" s="5">
        <v>5</v>
      </c>
    </row>
    <row r="30" spans="1:2" ht="22.5" customHeight="1" x14ac:dyDescent="0.2">
      <c r="A30" s="9" t="s">
        <v>2</v>
      </c>
      <c r="B30" s="2">
        <v>3.5</v>
      </c>
    </row>
    <row r="31" spans="1:2" ht="22.5" customHeight="1" x14ac:dyDescent="0.2">
      <c r="A31" s="5">
        <v>4</v>
      </c>
      <c r="B31" s="5">
        <v>4</v>
      </c>
    </row>
    <row r="32" spans="1:2" ht="22.5" customHeight="1" x14ac:dyDescent="0.2">
      <c r="A32" s="5">
        <v>3</v>
      </c>
      <c r="B32" s="5">
        <v>3</v>
      </c>
    </row>
    <row r="33" spans="1:2" ht="22.5" customHeight="1" x14ac:dyDescent="0.2">
      <c r="A33" s="5">
        <v>6</v>
      </c>
      <c r="B33" s="5">
        <v>6</v>
      </c>
    </row>
    <row r="34" spans="1:2" ht="22.5" customHeight="1" x14ac:dyDescent="0.2">
      <c r="A34" s="5">
        <v>5</v>
      </c>
      <c r="B34" s="5">
        <v>5</v>
      </c>
    </row>
    <row r="35" spans="1:2" ht="22.5" customHeight="1" x14ac:dyDescent="0.2">
      <c r="A35" s="5">
        <v>5</v>
      </c>
      <c r="B35" s="5">
        <v>5</v>
      </c>
    </row>
    <row r="36" spans="1:2" ht="22.5" customHeight="1" x14ac:dyDescent="0.2">
      <c r="A36" s="5">
        <v>5</v>
      </c>
      <c r="B36" s="5">
        <v>5</v>
      </c>
    </row>
    <row r="37" spans="1:2" ht="22.5" customHeight="1" x14ac:dyDescent="0.2">
      <c r="A37" s="5">
        <v>3</v>
      </c>
      <c r="B37" s="5">
        <v>3</v>
      </c>
    </row>
    <row r="38" spans="1:2" ht="22.5" customHeight="1" x14ac:dyDescent="0.2">
      <c r="A38" s="5">
        <v>5</v>
      </c>
      <c r="B38" s="5">
        <v>5</v>
      </c>
    </row>
    <row r="39" spans="1:2" ht="22.5" customHeight="1" x14ac:dyDescent="0.2">
      <c r="A39" s="5">
        <v>2</v>
      </c>
      <c r="B39" s="5">
        <v>2</v>
      </c>
    </row>
    <row r="40" spans="1:2" ht="22.5" customHeight="1" x14ac:dyDescent="0.2">
      <c r="A40" s="5">
        <v>2</v>
      </c>
      <c r="B40" s="5">
        <v>2</v>
      </c>
    </row>
    <row r="41" spans="1:2" ht="22.5" customHeight="1" x14ac:dyDescent="0.2">
      <c r="A41" s="5">
        <v>4</v>
      </c>
      <c r="B41" s="5">
        <v>4</v>
      </c>
    </row>
    <row r="42" spans="1:2" ht="22.5" customHeight="1" x14ac:dyDescent="0.2">
      <c r="A42" s="5">
        <v>4</v>
      </c>
      <c r="B42" s="5">
        <v>4</v>
      </c>
    </row>
    <row r="43" spans="1:2" ht="22.5" customHeight="1" x14ac:dyDescent="0.2">
      <c r="A43" s="5">
        <v>3</v>
      </c>
      <c r="B43" s="5">
        <v>3</v>
      </c>
    </row>
    <row r="44" spans="1:2" ht="22.5" customHeight="1" x14ac:dyDescent="0.2">
      <c r="A44" s="5">
        <v>7</v>
      </c>
      <c r="B44" s="5">
        <v>7</v>
      </c>
    </row>
    <row r="45" spans="1:2" ht="22.5" customHeight="1" x14ac:dyDescent="0.2">
      <c r="A45" s="5">
        <v>8</v>
      </c>
      <c r="B45" s="5">
        <v>8</v>
      </c>
    </row>
    <row r="46" spans="1:2" ht="22.5" customHeight="1" x14ac:dyDescent="0.2">
      <c r="A46" s="5">
        <v>2</v>
      </c>
      <c r="B46" s="5">
        <v>2</v>
      </c>
    </row>
    <row r="47" spans="1:2" ht="22.5" customHeight="1" x14ac:dyDescent="0.2">
      <c r="A47" s="5">
        <v>3</v>
      </c>
      <c r="B47" s="5">
        <v>3</v>
      </c>
    </row>
    <row r="48" spans="1:2" ht="22.5" customHeight="1" x14ac:dyDescent="0.2">
      <c r="A48" s="5">
        <v>15</v>
      </c>
      <c r="B48" s="5">
        <v>15</v>
      </c>
    </row>
    <row r="49" spans="1:2" ht="22.5" customHeight="1" x14ac:dyDescent="0.2">
      <c r="A49" s="5">
        <v>0</v>
      </c>
      <c r="B49" s="5">
        <v>0</v>
      </c>
    </row>
    <row r="50" spans="1:2" ht="22.5" customHeight="1" x14ac:dyDescent="0.2">
      <c r="A50" s="5">
        <v>2</v>
      </c>
      <c r="B50" s="5">
        <v>2</v>
      </c>
    </row>
    <row r="51" spans="1:2" ht="22.5" customHeight="1" x14ac:dyDescent="0.2">
      <c r="A51" s="5">
        <v>3</v>
      </c>
      <c r="B51" s="5">
        <v>3</v>
      </c>
    </row>
    <row r="52" spans="1:2" ht="22.5" customHeight="1" x14ac:dyDescent="0.2">
      <c r="A52" s="5">
        <v>3</v>
      </c>
      <c r="B52" s="5">
        <v>3</v>
      </c>
    </row>
    <row r="53" spans="1:2" ht="22.5" customHeight="1" x14ac:dyDescent="0.2">
      <c r="A53" s="5">
        <v>2</v>
      </c>
      <c r="B53" s="5">
        <v>2</v>
      </c>
    </row>
    <row r="54" spans="1:2" ht="22.5" customHeight="1" x14ac:dyDescent="0.2">
      <c r="A54" s="2"/>
      <c r="B54" s="2">
        <f>AVERAGE(B2:B53)</f>
        <v>4.1274509803921573</v>
      </c>
    </row>
    <row r="58" spans="1:2" ht="12.75" x14ac:dyDescent="0.2">
      <c r="B58" s="21">
        <f>AVERAGE(B6:B57)</f>
        <v>4.2630718954248366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1" max="1" width="35.28515625" customWidth="1"/>
  </cols>
  <sheetData>
    <row r="1" spans="1:5" ht="22.5" customHeight="1" x14ac:dyDescent="0.2">
      <c r="A1" s="1" t="s">
        <v>27</v>
      </c>
      <c r="E1" s="19"/>
    </row>
    <row r="2" spans="1:5" ht="22.5" customHeight="1" x14ac:dyDescent="0.2">
      <c r="A2" s="2" t="s">
        <v>80</v>
      </c>
      <c r="C2" s="4" t="s">
        <v>80</v>
      </c>
      <c r="D2" s="17">
        <f>COUNTIF(A2:A53,C2)+1.5</f>
        <v>26.5</v>
      </c>
      <c r="E2" s="19">
        <f t="shared" ref="E2:E3" si="0">D2/52</f>
        <v>0.50961538461538458</v>
      </c>
    </row>
    <row r="3" spans="1:5" ht="22.5" customHeight="1" x14ac:dyDescent="0.2">
      <c r="A3" s="2" t="s">
        <v>80</v>
      </c>
      <c r="C3" s="4" t="s">
        <v>82</v>
      </c>
      <c r="D3" s="17">
        <f>COUNTIF(A2:A1000,C3)+9.5</f>
        <v>25.5</v>
      </c>
      <c r="E3" s="19">
        <f t="shared" si="0"/>
        <v>0.49038461538461536</v>
      </c>
    </row>
    <row r="4" spans="1:5" ht="22.5" customHeight="1" x14ac:dyDescent="0.2">
      <c r="A4" s="2" t="s">
        <v>80</v>
      </c>
      <c r="E4" s="19"/>
    </row>
    <row r="5" spans="1:5" ht="22.5" customHeight="1" x14ac:dyDescent="0.2">
      <c r="A5" s="2" t="s">
        <v>80</v>
      </c>
      <c r="E5" s="19"/>
    </row>
    <row r="6" spans="1:5" ht="22.5" customHeight="1" x14ac:dyDescent="0.2">
      <c r="A6" s="2" t="s">
        <v>80</v>
      </c>
      <c r="E6" s="19"/>
    </row>
    <row r="7" spans="1:5" ht="22.5" customHeight="1" x14ac:dyDescent="0.2">
      <c r="A7" s="5" t="s">
        <v>80</v>
      </c>
      <c r="E7" s="19"/>
    </row>
    <row r="8" spans="1:5" ht="22.5" customHeight="1" x14ac:dyDescent="0.2">
      <c r="A8" s="5" t="s">
        <v>80</v>
      </c>
      <c r="E8" s="19"/>
    </row>
    <row r="9" spans="1:5" ht="22.5" customHeight="1" x14ac:dyDescent="0.2">
      <c r="A9" s="5" t="s">
        <v>82</v>
      </c>
      <c r="E9" s="19"/>
    </row>
    <row r="10" spans="1:5" ht="22.5" customHeight="1" x14ac:dyDescent="0.2">
      <c r="A10" s="5" t="s">
        <v>82</v>
      </c>
      <c r="E10" s="19"/>
    </row>
    <row r="11" spans="1:5" ht="22.5" customHeight="1" x14ac:dyDescent="0.2">
      <c r="A11" s="5" t="s">
        <v>82</v>
      </c>
      <c r="E11" s="19"/>
    </row>
    <row r="12" spans="1:5" ht="22.5" customHeight="1" x14ac:dyDescent="0.2">
      <c r="A12" s="5" t="s">
        <v>80</v>
      </c>
      <c r="E12" s="19"/>
    </row>
    <row r="13" spans="1:5" ht="22.5" customHeight="1" x14ac:dyDescent="0.2">
      <c r="A13" s="24" t="s">
        <v>181</v>
      </c>
      <c r="E13" s="19"/>
    </row>
    <row r="14" spans="1:5" ht="22.5" customHeight="1" x14ac:dyDescent="0.2">
      <c r="A14" s="24" t="s">
        <v>159</v>
      </c>
      <c r="E14" s="19"/>
    </row>
    <row r="15" spans="1:5" ht="22.5" customHeight="1" x14ac:dyDescent="0.2">
      <c r="A15" s="5" t="s">
        <v>80</v>
      </c>
      <c r="E15" s="19"/>
    </row>
    <row r="16" spans="1:5" ht="22.5" customHeight="1" x14ac:dyDescent="0.2">
      <c r="A16" s="5" t="s">
        <v>80</v>
      </c>
      <c r="E16" s="19"/>
    </row>
    <row r="17" spans="1:5" ht="22.5" customHeight="1" x14ac:dyDescent="0.2">
      <c r="A17" s="24" t="s">
        <v>182</v>
      </c>
      <c r="E17" s="19"/>
    </row>
    <row r="18" spans="1:5" ht="22.5" customHeight="1" x14ac:dyDescent="0.2">
      <c r="A18" s="5" t="s">
        <v>80</v>
      </c>
      <c r="E18" s="19"/>
    </row>
    <row r="19" spans="1:5" ht="22.5" customHeight="1" x14ac:dyDescent="0.2">
      <c r="A19" s="24" t="s">
        <v>183</v>
      </c>
      <c r="E19" s="19"/>
    </row>
    <row r="20" spans="1:5" ht="22.5" customHeight="1" x14ac:dyDescent="0.2">
      <c r="A20" s="5" t="s">
        <v>82</v>
      </c>
      <c r="E20" s="19"/>
    </row>
    <row r="21" spans="1:5" ht="22.5" customHeight="1" x14ac:dyDescent="0.2">
      <c r="A21" s="24" t="s">
        <v>184</v>
      </c>
      <c r="E21" s="19"/>
    </row>
    <row r="22" spans="1:5" ht="22.5" customHeight="1" x14ac:dyDescent="0.2">
      <c r="A22" s="5" t="s">
        <v>80</v>
      </c>
      <c r="E22" s="19"/>
    </row>
    <row r="23" spans="1:5" ht="22.5" customHeight="1" x14ac:dyDescent="0.2">
      <c r="A23" s="5" t="s">
        <v>82</v>
      </c>
      <c r="E23" s="19"/>
    </row>
    <row r="24" spans="1:5" ht="22.5" customHeight="1" x14ac:dyDescent="0.2">
      <c r="A24" s="5" t="s">
        <v>80</v>
      </c>
      <c r="E24" s="19"/>
    </row>
    <row r="25" spans="1:5" ht="22.5" customHeight="1" x14ac:dyDescent="0.2">
      <c r="A25" s="5" t="s">
        <v>80</v>
      </c>
      <c r="E25" s="19"/>
    </row>
    <row r="26" spans="1:5" ht="22.5" customHeight="1" x14ac:dyDescent="0.2">
      <c r="A26" s="5" t="s">
        <v>82</v>
      </c>
      <c r="E26" s="19"/>
    </row>
    <row r="27" spans="1:5" ht="22.5" customHeight="1" x14ac:dyDescent="0.2">
      <c r="A27" s="5" t="s">
        <v>82</v>
      </c>
      <c r="E27" s="19"/>
    </row>
    <row r="28" spans="1:5" ht="22.5" customHeight="1" x14ac:dyDescent="0.2">
      <c r="A28" s="24" t="s">
        <v>186</v>
      </c>
      <c r="E28" s="19"/>
    </row>
    <row r="29" spans="1:5" ht="22.5" customHeight="1" x14ac:dyDescent="0.2">
      <c r="A29" s="5" t="s">
        <v>80</v>
      </c>
      <c r="E29" s="19"/>
    </row>
    <row r="30" spans="1:5" ht="22.5" customHeight="1" x14ac:dyDescent="0.2">
      <c r="A30" s="5" t="s">
        <v>82</v>
      </c>
      <c r="E30" s="19"/>
    </row>
    <row r="31" spans="1:5" ht="22.5" customHeight="1" x14ac:dyDescent="0.2">
      <c r="A31" s="5" t="s">
        <v>80</v>
      </c>
      <c r="E31" s="19"/>
    </row>
    <row r="32" spans="1:5" ht="22.5" customHeight="1" x14ac:dyDescent="0.2">
      <c r="A32" s="5" t="s">
        <v>82</v>
      </c>
      <c r="E32" s="19"/>
    </row>
    <row r="33" spans="1:5" ht="22.5" customHeight="1" x14ac:dyDescent="0.2">
      <c r="A33" s="24" t="s">
        <v>189</v>
      </c>
      <c r="E33" s="19"/>
    </row>
    <row r="34" spans="1:5" ht="22.5" customHeight="1" x14ac:dyDescent="0.2">
      <c r="A34" s="24" t="s">
        <v>190</v>
      </c>
      <c r="E34" s="19"/>
    </row>
    <row r="35" spans="1:5" ht="22.5" customHeight="1" x14ac:dyDescent="0.2">
      <c r="A35" s="5" t="s">
        <v>82</v>
      </c>
      <c r="E35" s="19"/>
    </row>
    <row r="36" spans="1:5" ht="22.5" customHeight="1" x14ac:dyDescent="0.2">
      <c r="A36" s="5" t="s">
        <v>80</v>
      </c>
      <c r="E36" s="19"/>
    </row>
    <row r="37" spans="1:5" ht="22.5" customHeight="1" x14ac:dyDescent="0.2">
      <c r="A37" s="5" t="s">
        <v>82</v>
      </c>
      <c r="E37" s="19"/>
    </row>
    <row r="38" spans="1:5" ht="22.5" customHeight="1" x14ac:dyDescent="0.2">
      <c r="A38" s="5" t="s">
        <v>82</v>
      </c>
      <c r="E38" s="19"/>
    </row>
    <row r="39" spans="1:5" ht="22.5" customHeight="1" x14ac:dyDescent="0.2">
      <c r="A39" s="24" t="s">
        <v>192</v>
      </c>
      <c r="E39" s="19"/>
    </row>
    <row r="40" spans="1:5" ht="22.5" customHeight="1" x14ac:dyDescent="0.2">
      <c r="A40" s="5" t="s">
        <v>80</v>
      </c>
      <c r="E40" s="19"/>
    </row>
    <row r="41" spans="1:5" ht="22.5" customHeight="1" x14ac:dyDescent="0.2">
      <c r="A41" s="24" t="s">
        <v>193</v>
      </c>
      <c r="E41" s="19"/>
    </row>
    <row r="42" spans="1:5" ht="22.5" customHeight="1" x14ac:dyDescent="0.2">
      <c r="A42" s="24" t="s">
        <v>194</v>
      </c>
      <c r="E42" s="19"/>
    </row>
    <row r="43" spans="1:5" ht="22.5" customHeight="1" x14ac:dyDescent="0.2">
      <c r="A43" s="5" t="s">
        <v>82</v>
      </c>
      <c r="E43" s="19"/>
    </row>
    <row r="44" spans="1:5" ht="22.5" customHeight="1" x14ac:dyDescent="0.2">
      <c r="A44" s="5" t="s">
        <v>82</v>
      </c>
      <c r="E44" s="19"/>
    </row>
    <row r="45" spans="1:5" ht="22.5" customHeight="1" x14ac:dyDescent="0.2">
      <c r="A45" s="5" t="s">
        <v>80</v>
      </c>
      <c r="E45" s="19"/>
    </row>
    <row r="46" spans="1:5" ht="22.5" customHeight="1" x14ac:dyDescent="0.2">
      <c r="A46" s="5" t="s">
        <v>80</v>
      </c>
      <c r="E46" s="19"/>
    </row>
    <row r="47" spans="1:5" ht="22.5" customHeight="1" x14ac:dyDescent="0.2">
      <c r="A47" s="5" t="s">
        <v>80</v>
      </c>
      <c r="E47" s="19"/>
    </row>
    <row r="48" spans="1:5" ht="22.5" customHeight="1" x14ac:dyDescent="0.2">
      <c r="A48" s="5" t="s">
        <v>82</v>
      </c>
      <c r="E48" s="19"/>
    </row>
    <row r="49" spans="1:5" ht="22.5" customHeight="1" x14ac:dyDescent="0.2">
      <c r="A49" s="5" t="s">
        <v>80</v>
      </c>
      <c r="E49" s="19"/>
    </row>
    <row r="50" spans="1:5" ht="22.5" customHeight="1" x14ac:dyDescent="0.2">
      <c r="A50" s="5" t="s">
        <v>80</v>
      </c>
      <c r="E50" s="19"/>
    </row>
    <row r="51" spans="1:5" ht="22.5" customHeight="1" x14ac:dyDescent="0.2">
      <c r="A51" s="5" t="s">
        <v>80</v>
      </c>
      <c r="E51" s="19"/>
    </row>
    <row r="52" spans="1:5" ht="22.5" customHeight="1" x14ac:dyDescent="0.2">
      <c r="A52" s="5" t="s">
        <v>80</v>
      </c>
      <c r="E52" s="19"/>
    </row>
    <row r="53" spans="1:5" ht="22.5" customHeight="1" x14ac:dyDescent="0.2">
      <c r="A53" s="2" t="s">
        <v>82</v>
      </c>
      <c r="E53" s="19"/>
    </row>
    <row r="54" spans="1:5" ht="12.75" x14ac:dyDescent="0.2">
      <c r="E54" s="19"/>
    </row>
    <row r="55" spans="1:5" ht="12.75" x14ac:dyDescent="0.2">
      <c r="E55" s="19"/>
    </row>
    <row r="56" spans="1:5" ht="12.75" x14ac:dyDescent="0.2">
      <c r="E56" s="19"/>
    </row>
    <row r="57" spans="1:5" ht="12.75" x14ac:dyDescent="0.2">
      <c r="E57" s="19"/>
    </row>
    <row r="58" spans="1:5" ht="12.75" x14ac:dyDescent="0.2">
      <c r="E58" s="19"/>
    </row>
    <row r="59" spans="1:5" ht="12.75" x14ac:dyDescent="0.2">
      <c r="E59" s="19"/>
    </row>
    <row r="60" spans="1:5" ht="12.75" x14ac:dyDescent="0.2">
      <c r="E60" s="19"/>
    </row>
    <row r="61" spans="1:5" ht="12.75" x14ac:dyDescent="0.2">
      <c r="E61" s="19"/>
    </row>
    <row r="62" spans="1:5" ht="12.75" x14ac:dyDescent="0.2">
      <c r="E62" s="19"/>
    </row>
    <row r="63" spans="1:5" ht="12.75" x14ac:dyDescent="0.2">
      <c r="E63" s="19"/>
    </row>
    <row r="64" spans="1:5" ht="12.75" x14ac:dyDescent="0.2">
      <c r="E64" s="19"/>
    </row>
    <row r="65" spans="5:5" ht="12.75" x14ac:dyDescent="0.2">
      <c r="E65" s="19"/>
    </row>
    <row r="66" spans="5:5" ht="12.75" x14ac:dyDescent="0.2">
      <c r="E66" s="19"/>
    </row>
    <row r="67" spans="5:5" ht="12.75" x14ac:dyDescent="0.2">
      <c r="E67" s="19"/>
    </row>
    <row r="68" spans="5:5" ht="12.75" x14ac:dyDescent="0.2">
      <c r="E68" s="19"/>
    </row>
    <row r="69" spans="5:5" ht="12.75" x14ac:dyDescent="0.2">
      <c r="E69" s="19"/>
    </row>
    <row r="70" spans="5:5" ht="12.75" x14ac:dyDescent="0.2">
      <c r="E70" s="19"/>
    </row>
    <row r="71" spans="5:5" ht="12.75" x14ac:dyDescent="0.2">
      <c r="E71" s="19"/>
    </row>
    <row r="72" spans="5:5" ht="12.75" x14ac:dyDescent="0.2">
      <c r="E72" s="19"/>
    </row>
    <row r="73" spans="5:5" ht="12.75" x14ac:dyDescent="0.2">
      <c r="E73" s="19"/>
    </row>
    <row r="74" spans="5:5" ht="12.75" x14ac:dyDescent="0.2">
      <c r="E74" s="19"/>
    </row>
    <row r="75" spans="5:5" ht="12.75" x14ac:dyDescent="0.2">
      <c r="E75" s="19"/>
    </row>
    <row r="76" spans="5:5" ht="12.75" x14ac:dyDescent="0.2">
      <c r="E76" s="19"/>
    </row>
    <row r="77" spans="5:5" ht="12.75" x14ac:dyDescent="0.2">
      <c r="E77" s="19"/>
    </row>
    <row r="78" spans="5:5" ht="12.75" x14ac:dyDescent="0.2">
      <c r="E78" s="19"/>
    </row>
    <row r="79" spans="5:5" ht="12.75" x14ac:dyDescent="0.2">
      <c r="E79" s="19"/>
    </row>
    <row r="80" spans="5:5" ht="12.75" x14ac:dyDescent="0.2">
      <c r="E80" s="19"/>
    </row>
    <row r="81" spans="5:5" ht="12.75" x14ac:dyDescent="0.2">
      <c r="E81" s="19"/>
    </row>
    <row r="82" spans="5:5" ht="12.75" x14ac:dyDescent="0.2">
      <c r="E82" s="19"/>
    </row>
    <row r="83" spans="5:5" ht="12.75" x14ac:dyDescent="0.2">
      <c r="E83" s="19"/>
    </row>
    <row r="84" spans="5:5" ht="12.75" x14ac:dyDescent="0.2">
      <c r="E84" s="19"/>
    </row>
    <row r="85" spans="5:5" ht="12.75" x14ac:dyDescent="0.2">
      <c r="E85" s="19"/>
    </row>
    <row r="86" spans="5:5" ht="12.75" x14ac:dyDescent="0.2">
      <c r="E86" s="19"/>
    </row>
    <row r="87" spans="5:5" ht="12.75" x14ac:dyDescent="0.2">
      <c r="E87" s="19"/>
    </row>
    <row r="88" spans="5:5" ht="12.75" x14ac:dyDescent="0.2">
      <c r="E88" s="19"/>
    </row>
    <row r="89" spans="5:5" ht="12.75" x14ac:dyDescent="0.2">
      <c r="E89" s="19"/>
    </row>
    <row r="90" spans="5:5" ht="12.75" x14ac:dyDescent="0.2">
      <c r="E90" s="19"/>
    </row>
    <row r="91" spans="5:5" ht="12.75" x14ac:dyDescent="0.2">
      <c r="E91" s="19"/>
    </row>
    <row r="92" spans="5:5" ht="12.75" x14ac:dyDescent="0.2">
      <c r="E92" s="19"/>
    </row>
    <row r="93" spans="5:5" ht="12.75" x14ac:dyDescent="0.2">
      <c r="E93" s="19"/>
    </row>
    <row r="94" spans="5:5" ht="12.75" x14ac:dyDescent="0.2">
      <c r="E94" s="19"/>
    </row>
    <row r="95" spans="5:5" ht="12.75" x14ac:dyDescent="0.2">
      <c r="E95" s="19"/>
    </row>
    <row r="96" spans="5:5" ht="12.75" x14ac:dyDescent="0.2">
      <c r="E96" s="19"/>
    </row>
    <row r="97" spans="5:5" ht="12.75" x14ac:dyDescent="0.2">
      <c r="E97" s="19"/>
    </row>
    <row r="98" spans="5:5" ht="12.75" x14ac:dyDescent="0.2">
      <c r="E98" s="19"/>
    </row>
    <row r="99" spans="5:5" ht="12.75" x14ac:dyDescent="0.2">
      <c r="E99" s="19"/>
    </row>
    <row r="100" spans="5:5" ht="12.75" x14ac:dyDescent="0.2">
      <c r="E100" s="19"/>
    </row>
    <row r="101" spans="5:5" ht="12.75" x14ac:dyDescent="0.2">
      <c r="E101" s="19"/>
    </row>
    <row r="102" spans="5:5" ht="12.75" x14ac:dyDescent="0.2">
      <c r="E102" s="19"/>
    </row>
    <row r="103" spans="5:5" ht="12.75" x14ac:dyDescent="0.2">
      <c r="E103" s="19"/>
    </row>
    <row r="104" spans="5:5" ht="12.75" x14ac:dyDescent="0.2">
      <c r="E104" s="19"/>
    </row>
    <row r="105" spans="5:5" ht="12.75" x14ac:dyDescent="0.2">
      <c r="E105" s="19"/>
    </row>
    <row r="106" spans="5:5" ht="12.75" x14ac:dyDescent="0.2">
      <c r="E106" s="19"/>
    </row>
    <row r="107" spans="5:5" ht="12.75" x14ac:dyDescent="0.2">
      <c r="E107" s="19"/>
    </row>
    <row r="108" spans="5:5" ht="12.75" x14ac:dyDescent="0.2">
      <c r="E108" s="19"/>
    </row>
    <row r="109" spans="5:5" ht="12.75" x14ac:dyDescent="0.2">
      <c r="E109" s="19"/>
    </row>
    <row r="110" spans="5:5" ht="12.75" x14ac:dyDescent="0.2">
      <c r="E110" s="19"/>
    </row>
    <row r="111" spans="5:5" ht="12.75" x14ac:dyDescent="0.2">
      <c r="E111" s="19"/>
    </row>
    <row r="112" spans="5:5" ht="12.75" x14ac:dyDescent="0.2">
      <c r="E112" s="19"/>
    </row>
    <row r="113" spans="5:5" ht="12.75" x14ac:dyDescent="0.2">
      <c r="E113" s="19"/>
    </row>
    <row r="114" spans="5:5" ht="12.75" x14ac:dyDescent="0.2">
      <c r="E114" s="19"/>
    </row>
    <row r="115" spans="5:5" ht="12.75" x14ac:dyDescent="0.2">
      <c r="E115" s="19"/>
    </row>
    <row r="116" spans="5:5" ht="12.75" x14ac:dyDescent="0.2">
      <c r="E116" s="19"/>
    </row>
    <row r="117" spans="5:5" ht="12.75" x14ac:dyDescent="0.2">
      <c r="E117" s="19"/>
    </row>
    <row r="118" spans="5:5" ht="12.75" x14ac:dyDescent="0.2">
      <c r="E118" s="19"/>
    </row>
    <row r="119" spans="5:5" ht="12.75" x14ac:dyDescent="0.2">
      <c r="E119" s="19"/>
    </row>
    <row r="120" spans="5:5" ht="12.75" x14ac:dyDescent="0.2">
      <c r="E120" s="19"/>
    </row>
    <row r="121" spans="5:5" ht="12.75" x14ac:dyDescent="0.2">
      <c r="E121" s="19"/>
    </row>
    <row r="122" spans="5:5" ht="12.75" x14ac:dyDescent="0.2">
      <c r="E122" s="19"/>
    </row>
    <row r="123" spans="5:5" ht="12.75" x14ac:dyDescent="0.2">
      <c r="E123" s="19"/>
    </row>
    <row r="124" spans="5:5" ht="12.75" x14ac:dyDescent="0.2">
      <c r="E124" s="19"/>
    </row>
    <row r="125" spans="5:5" ht="12.75" x14ac:dyDescent="0.2">
      <c r="E125" s="19"/>
    </row>
    <row r="126" spans="5:5" ht="12.75" x14ac:dyDescent="0.2">
      <c r="E126" s="19"/>
    </row>
    <row r="127" spans="5:5" ht="12.75" x14ac:dyDescent="0.2">
      <c r="E127" s="19"/>
    </row>
    <row r="128" spans="5:5" ht="12.75" x14ac:dyDescent="0.2">
      <c r="E128" s="19"/>
    </row>
    <row r="129" spans="5:5" ht="12.75" x14ac:dyDescent="0.2">
      <c r="E129" s="19"/>
    </row>
    <row r="130" spans="5:5" ht="12.75" x14ac:dyDescent="0.2">
      <c r="E130" s="19"/>
    </row>
    <row r="131" spans="5:5" ht="12.75" x14ac:dyDescent="0.2">
      <c r="E131" s="19"/>
    </row>
    <row r="132" spans="5:5" ht="12.75" x14ac:dyDescent="0.2">
      <c r="E132" s="19"/>
    </row>
    <row r="133" spans="5:5" ht="12.75" x14ac:dyDescent="0.2">
      <c r="E133" s="19"/>
    </row>
    <row r="134" spans="5:5" ht="12.75" x14ac:dyDescent="0.2">
      <c r="E134" s="19"/>
    </row>
    <row r="135" spans="5:5" ht="12.75" x14ac:dyDescent="0.2">
      <c r="E135" s="19"/>
    </row>
    <row r="136" spans="5:5" ht="12.75" x14ac:dyDescent="0.2">
      <c r="E136" s="19"/>
    </row>
    <row r="137" spans="5:5" ht="12.75" x14ac:dyDescent="0.2">
      <c r="E137" s="19"/>
    </row>
    <row r="138" spans="5:5" ht="12.75" x14ac:dyDescent="0.2">
      <c r="E138" s="19"/>
    </row>
    <row r="139" spans="5:5" ht="12.75" x14ac:dyDescent="0.2">
      <c r="E139" s="19"/>
    </row>
    <row r="140" spans="5:5" ht="12.75" x14ac:dyDescent="0.2">
      <c r="E140" s="19"/>
    </row>
    <row r="141" spans="5:5" ht="12.75" x14ac:dyDescent="0.2">
      <c r="E141" s="19"/>
    </row>
    <row r="142" spans="5:5" ht="12.75" x14ac:dyDescent="0.2">
      <c r="E142" s="19"/>
    </row>
    <row r="143" spans="5:5" ht="12.75" x14ac:dyDescent="0.2">
      <c r="E143" s="19"/>
    </row>
    <row r="144" spans="5:5" ht="12.75" x14ac:dyDescent="0.2">
      <c r="E144" s="19"/>
    </row>
    <row r="145" spans="5:5" ht="12.75" x14ac:dyDescent="0.2">
      <c r="E145" s="19"/>
    </row>
    <row r="146" spans="5:5" ht="12.75" x14ac:dyDescent="0.2">
      <c r="E146" s="19"/>
    </row>
    <row r="147" spans="5:5" ht="12.75" x14ac:dyDescent="0.2">
      <c r="E147" s="19"/>
    </row>
    <row r="148" spans="5:5" ht="12.75" x14ac:dyDescent="0.2">
      <c r="E148" s="19"/>
    </row>
    <row r="149" spans="5:5" ht="12.75" x14ac:dyDescent="0.2">
      <c r="E149" s="19"/>
    </row>
    <row r="150" spans="5:5" ht="12.75" x14ac:dyDescent="0.2">
      <c r="E150" s="19"/>
    </row>
    <row r="151" spans="5:5" ht="12.75" x14ac:dyDescent="0.2">
      <c r="E151" s="19"/>
    </row>
    <row r="152" spans="5:5" ht="12.75" x14ac:dyDescent="0.2">
      <c r="E152" s="19"/>
    </row>
    <row r="153" spans="5:5" ht="12.75" x14ac:dyDescent="0.2">
      <c r="E153" s="19"/>
    </row>
    <row r="154" spans="5:5" ht="12.75" x14ac:dyDescent="0.2">
      <c r="E154" s="19"/>
    </row>
    <row r="155" spans="5:5" ht="12.75" x14ac:dyDescent="0.2">
      <c r="E155" s="19"/>
    </row>
    <row r="156" spans="5:5" ht="12.75" x14ac:dyDescent="0.2">
      <c r="E156" s="19"/>
    </row>
    <row r="157" spans="5:5" ht="12.75" x14ac:dyDescent="0.2">
      <c r="E157" s="19"/>
    </row>
    <row r="158" spans="5:5" ht="12.75" x14ac:dyDescent="0.2">
      <c r="E158" s="19"/>
    </row>
    <row r="159" spans="5:5" ht="12.75" x14ac:dyDescent="0.2">
      <c r="E159" s="19"/>
    </row>
    <row r="160" spans="5:5" ht="12.75" x14ac:dyDescent="0.2">
      <c r="E160" s="19"/>
    </row>
    <row r="161" spans="5:5" ht="12.75" x14ac:dyDescent="0.2">
      <c r="E161" s="19"/>
    </row>
    <row r="162" spans="5:5" ht="12.75" x14ac:dyDescent="0.2">
      <c r="E162" s="19"/>
    </row>
    <row r="163" spans="5:5" ht="12.75" x14ac:dyDescent="0.2">
      <c r="E163" s="19"/>
    </row>
    <row r="164" spans="5:5" ht="12.75" x14ac:dyDescent="0.2">
      <c r="E164" s="19"/>
    </row>
    <row r="165" spans="5:5" ht="12.75" x14ac:dyDescent="0.2">
      <c r="E165" s="19"/>
    </row>
    <row r="166" spans="5:5" ht="12.75" x14ac:dyDescent="0.2">
      <c r="E166" s="19"/>
    </row>
    <row r="167" spans="5:5" ht="12.75" x14ac:dyDescent="0.2">
      <c r="E167" s="19"/>
    </row>
    <row r="168" spans="5:5" ht="12.75" x14ac:dyDescent="0.2">
      <c r="E168" s="19"/>
    </row>
    <row r="169" spans="5:5" ht="12.75" x14ac:dyDescent="0.2">
      <c r="E169" s="19"/>
    </row>
    <row r="170" spans="5:5" ht="12.75" x14ac:dyDescent="0.2">
      <c r="E170" s="19"/>
    </row>
    <row r="171" spans="5:5" ht="12.75" x14ac:dyDescent="0.2">
      <c r="E171" s="19"/>
    </row>
    <row r="172" spans="5:5" ht="12.75" x14ac:dyDescent="0.2">
      <c r="E172" s="19"/>
    </row>
    <row r="173" spans="5:5" ht="12.75" x14ac:dyDescent="0.2">
      <c r="E173" s="19"/>
    </row>
    <row r="174" spans="5:5" ht="12.75" x14ac:dyDescent="0.2">
      <c r="E174" s="19"/>
    </row>
    <row r="175" spans="5:5" ht="12.75" x14ac:dyDescent="0.2">
      <c r="E175" s="19"/>
    </row>
    <row r="176" spans="5:5" ht="12.75" x14ac:dyDescent="0.2">
      <c r="E176" s="19"/>
    </row>
    <row r="177" spans="5:5" ht="12.75" x14ac:dyDescent="0.2">
      <c r="E177" s="19"/>
    </row>
    <row r="178" spans="5:5" ht="12.75" x14ac:dyDescent="0.2">
      <c r="E178" s="19"/>
    </row>
    <row r="179" spans="5:5" ht="12.75" x14ac:dyDescent="0.2">
      <c r="E179" s="19"/>
    </row>
    <row r="180" spans="5:5" ht="12.75" x14ac:dyDescent="0.2">
      <c r="E180" s="19"/>
    </row>
    <row r="181" spans="5:5" ht="12.75" x14ac:dyDescent="0.2">
      <c r="E181" s="19"/>
    </row>
    <row r="182" spans="5:5" ht="12.75" x14ac:dyDescent="0.2">
      <c r="E182" s="19"/>
    </row>
    <row r="183" spans="5:5" ht="12.75" x14ac:dyDescent="0.2">
      <c r="E183" s="19"/>
    </row>
    <row r="184" spans="5:5" ht="12.75" x14ac:dyDescent="0.2">
      <c r="E184" s="19"/>
    </row>
    <row r="185" spans="5:5" ht="12.75" x14ac:dyDescent="0.2">
      <c r="E185" s="19"/>
    </row>
    <row r="186" spans="5:5" ht="12.75" x14ac:dyDescent="0.2">
      <c r="E186" s="19"/>
    </row>
    <row r="187" spans="5:5" ht="12.75" x14ac:dyDescent="0.2">
      <c r="E187" s="19"/>
    </row>
    <row r="188" spans="5:5" ht="12.75" x14ac:dyDescent="0.2">
      <c r="E188" s="19"/>
    </row>
    <row r="189" spans="5:5" ht="12.75" x14ac:dyDescent="0.2">
      <c r="E189" s="19"/>
    </row>
    <row r="190" spans="5:5" ht="12.75" x14ac:dyDescent="0.2">
      <c r="E190" s="19"/>
    </row>
    <row r="191" spans="5:5" ht="12.75" x14ac:dyDescent="0.2">
      <c r="E191" s="19"/>
    </row>
    <row r="192" spans="5:5" ht="12.75" x14ac:dyDescent="0.2">
      <c r="E192" s="19"/>
    </row>
    <row r="193" spans="5:5" ht="12.75" x14ac:dyDescent="0.2">
      <c r="E193" s="19"/>
    </row>
    <row r="194" spans="5:5" ht="12.75" x14ac:dyDescent="0.2">
      <c r="E194" s="19"/>
    </row>
    <row r="195" spans="5:5" ht="12.75" x14ac:dyDescent="0.2">
      <c r="E195" s="19"/>
    </row>
    <row r="196" spans="5:5" ht="12.75" x14ac:dyDescent="0.2">
      <c r="E196" s="19"/>
    </row>
    <row r="197" spans="5:5" ht="12.75" x14ac:dyDescent="0.2">
      <c r="E197" s="19"/>
    </row>
    <row r="198" spans="5:5" ht="12.75" x14ac:dyDescent="0.2">
      <c r="E198" s="19"/>
    </row>
    <row r="199" spans="5:5" ht="12.75" x14ac:dyDescent="0.2">
      <c r="E199" s="19"/>
    </row>
    <row r="200" spans="5:5" ht="12.75" x14ac:dyDescent="0.2">
      <c r="E200" s="19"/>
    </row>
    <row r="201" spans="5:5" ht="12.75" x14ac:dyDescent="0.2">
      <c r="E201" s="19"/>
    </row>
    <row r="202" spans="5:5" ht="12.75" x14ac:dyDescent="0.2">
      <c r="E202" s="19"/>
    </row>
    <row r="203" spans="5:5" ht="12.75" x14ac:dyDescent="0.2">
      <c r="E203" s="19"/>
    </row>
    <row r="204" spans="5:5" ht="12.75" x14ac:dyDescent="0.2">
      <c r="E204" s="19"/>
    </row>
    <row r="205" spans="5:5" ht="12.75" x14ac:dyDescent="0.2">
      <c r="E205" s="19"/>
    </row>
    <row r="206" spans="5:5" ht="12.75" x14ac:dyDescent="0.2">
      <c r="E206" s="19"/>
    </row>
    <row r="207" spans="5:5" ht="12.75" x14ac:dyDescent="0.2">
      <c r="E207" s="19"/>
    </row>
    <row r="208" spans="5:5" ht="12.75" x14ac:dyDescent="0.2">
      <c r="E208" s="19"/>
    </row>
    <row r="209" spans="5:5" ht="12.75" x14ac:dyDescent="0.2">
      <c r="E209" s="19"/>
    </row>
    <row r="210" spans="5:5" ht="12.75" x14ac:dyDescent="0.2">
      <c r="E210" s="19"/>
    </row>
    <row r="211" spans="5:5" ht="12.75" x14ac:dyDescent="0.2">
      <c r="E211" s="19"/>
    </row>
    <row r="212" spans="5:5" ht="12.75" x14ac:dyDescent="0.2">
      <c r="E212" s="19"/>
    </row>
    <row r="213" spans="5:5" ht="12.75" x14ac:dyDescent="0.2">
      <c r="E213" s="19"/>
    </row>
    <row r="214" spans="5:5" ht="12.75" x14ac:dyDescent="0.2">
      <c r="E214" s="19"/>
    </row>
    <row r="215" spans="5:5" ht="12.75" x14ac:dyDescent="0.2">
      <c r="E215" s="19"/>
    </row>
    <row r="216" spans="5:5" ht="12.75" x14ac:dyDescent="0.2">
      <c r="E216" s="19"/>
    </row>
    <row r="217" spans="5:5" ht="12.75" x14ac:dyDescent="0.2">
      <c r="E217" s="19"/>
    </row>
    <row r="218" spans="5:5" ht="12.75" x14ac:dyDescent="0.2">
      <c r="E218" s="19"/>
    </row>
    <row r="219" spans="5:5" ht="12.75" x14ac:dyDescent="0.2">
      <c r="E219" s="19"/>
    </row>
    <row r="220" spans="5:5" ht="12.75" x14ac:dyDescent="0.2">
      <c r="E220" s="19"/>
    </row>
    <row r="221" spans="5:5" ht="12.75" x14ac:dyDescent="0.2">
      <c r="E221" s="19"/>
    </row>
    <row r="222" spans="5:5" ht="12.75" x14ac:dyDescent="0.2">
      <c r="E222" s="19"/>
    </row>
    <row r="223" spans="5:5" ht="12.75" x14ac:dyDescent="0.2">
      <c r="E223" s="19"/>
    </row>
    <row r="224" spans="5:5" ht="12.75" x14ac:dyDescent="0.2">
      <c r="E224" s="19"/>
    </row>
    <row r="225" spans="5:5" ht="12.75" x14ac:dyDescent="0.2">
      <c r="E225" s="19"/>
    </row>
    <row r="226" spans="5:5" ht="12.75" x14ac:dyDescent="0.2">
      <c r="E226" s="19"/>
    </row>
    <row r="227" spans="5:5" ht="12.75" x14ac:dyDescent="0.2">
      <c r="E227" s="19"/>
    </row>
    <row r="228" spans="5:5" ht="12.75" x14ac:dyDescent="0.2">
      <c r="E228" s="19"/>
    </row>
    <row r="229" spans="5:5" ht="12.75" x14ac:dyDescent="0.2">
      <c r="E229" s="19"/>
    </row>
    <row r="230" spans="5:5" ht="12.75" x14ac:dyDescent="0.2">
      <c r="E230" s="19"/>
    </row>
    <row r="231" spans="5:5" ht="12.75" x14ac:dyDescent="0.2">
      <c r="E231" s="19"/>
    </row>
    <row r="232" spans="5:5" ht="12.75" x14ac:dyDescent="0.2">
      <c r="E232" s="19"/>
    </row>
    <row r="233" spans="5:5" ht="12.75" x14ac:dyDescent="0.2">
      <c r="E233" s="19"/>
    </row>
    <row r="234" spans="5:5" ht="12.75" x14ac:dyDescent="0.2">
      <c r="E234" s="19"/>
    </row>
    <row r="235" spans="5:5" ht="12.75" x14ac:dyDescent="0.2">
      <c r="E235" s="19"/>
    </row>
    <row r="236" spans="5:5" ht="12.75" x14ac:dyDescent="0.2">
      <c r="E236" s="19"/>
    </row>
    <row r="237" spans="5:5" ht="12.75" x14ac:dyDescent="0.2">
      <c r="E237" s="19"/>
    </row>
    <row r="238" spans="5:5" ht="12.75" x14ac:dyDescent="0.2">
      <c r="E238" s="19"/>
    </row>
    <row r="239" spans="5:5" ht="12.75" x14ac:dyDescent="0.2">
      <c r="E239" s="19"/>
    </row>
    <row r="240" spans="5:5" ht="12.75" x14ac:dyDescent="0.2">
      <c r="E240" s="19"/>
    </row>
    <row r="241" spans="5:5" ht="12.75" x14ac:dyDescent="0.2">
      <c r="E241" s="19"/>
    </row>
    <row r="242" spans="5:5" ht="12.75" x14ac:dyDescent="0.2">
      <c r="E242" s="19"/>
    </row>
    <row r="243" spans="5:5" ht="12.75" x14ac:dyDescent="0.2">
      <c r="E243" s="19"/>
    </row>
    <row r="244" spans="5:5" ht="12.75" x14ac:dyDescent="0.2">
      <c r="E244" s="19"/>
    </row>
    <row r="245" spans="5:5" ht="12.75" x14ac:dyDescent="0.2">
      <c r="E245" s="19"/>
    </row>
    <row r="246" spans="5:5" ht="12.75" x14ac:dyDescent="0.2">
      <c r="E246" s="19"/>
    </row>
    <row r="247" spans="5:5" ht="12.75" x14ac:dyDescent="0.2">
      <c r="E247" s="19"/>
    </row>
    <row r="248" spans="5:5" ht="12.75" x14ac:dyDescent="0.2">
      <c r="E248" s="19"/>
    </row>
    <row r="249" spans="5:5" ht="12.75" x14ac:dyDescent="0.2">
      <c r="E249" s="19"/>
    </row>
    <row r="250" spans="5:5" ht="12.75" x14ac:dyDescent="0.2">
      <c r="E250" s="19"/>
    </row>
    <row r="251" spans="5:5" ht="12.75" x14ac:dyDescent="0.2">
      <c r="E251" s="19"/>
    </row>
    <row r="252" spans="5:5" ht="12.75" x14ac:dyDescent="0.2">
      <c r="E252" s="19"/>
    </row>
    <row r="253" spans="5:5" ht="12.75" x14ac:dyDescent="0.2">
      <c r="E253" s="19"/>
    </row>
    <row r="254" spans="5:5" ht="12.75" x14ac:dyDescent="0.2">
      <c r="E254" s="19"/>
    </row>
    <row r="255" spans="5:5" ht="12.75" x14ac:dyDescent="0.2">
      <c r="E255" s="19"/>
    </row>
    <row r="256" spans="5:5" ht="12.75" x14ac:dyDescent="0.2">
      <c r="E256" s="19"/>
    </row>
    <row r="257" spans="5:5" ht="12.75" x14ac:dyDescent="0.2">
      <c r="E257" s="19"/>
    </row>
    <row r="258" spans="5:5" ht="12.75" x14ac:dyDescent="0.2">
      <c r="E258" s="19"/>
    </row>
    <row r="259" spans="5:5" ht="12.75" x14ac:dyDescent="0.2">
      <c r="E259" s="19"/>
    </row>
    <row r="260" spans="5:5" ht="12.75" x14ac:dyDescent="0.2">
      <c r="E260" s="19"/>
    </row>
    <row r="261" spans="5:5" ht="12.75" x14ac:dyDescent="0.2">
      <c r="E261" s="19"/>
    </row>
    <row r="262" spans="5:5" ht="12.75" x14ac:dyDescent="0.2">
      <c r="E262" s="19"/>
    </row>
    <row r="263" spans="5:5" ht="12.75" x14ac:dyDescent="0.2">
      <c r="E263" s="19"/>
    </row>
    <row r="264" spans="5:5" ht="12.75" x14ac:dyDescent="0.2">
      <c r="E264" s="19"/>
    </row>
    <row r="265" spans="5:5" ht="12.75" x14ac:dyDescent="0.2">
      <c r="E265" s="19"/>
    </row>
    <row r="266" spans="5:5" ht="12.75" x14ac:dyDescent="0.2">
      <c r="E266" s="19"/>
    </row>
    <row r="267" spans="5:5" ht="12.75" x14ac:dyDescent="0.2">
      <c r="E267" s="19"/>
    </row>
    <row r="268" spans="5:5" ht="12.75" x14ac:dyDescent="0.2">
      <c r="E268" s="19"/>
    </row>
    <row r="269" spans="5:5" ht="12.75" x14ac:dyDescent="0.2">
      <c r="E269" s="19"/>
    </row>
    <row r="270" spans="5:5" ht="12.75" x14ac:dyDescent="0.2">
      <c r="E270" s="19"/>
    </row>
    <row r="271" spans="5:5" ht="12.75" x14ac:dyDescent="0.2">
      <c r="E271" s="19"/>
    </row>
    <row r="272" spans="5:5" ht="12.75" x14ac:dyDescent="0.2">
      <c r="E272" s="19"/>
    </row>
    <row r="273" spans="5:5" ht="12.75" x14ac:dyDescent="0.2">
      <c r="E273" s="19"/>
    </row>
    <row r="274" spans="5:5" ht="12.75" x14ac:dyDescent="0.2">
      <c r="E274" s="19"/>
    </row>
    <row r="275" spans="5:5" ht="12.75" x14ac:dyDescent="0.2">
      <c r="E275" s="19"/>
    </row>
    <row r="276" spans="5:5" ht="12.75" x14ac:dyDescent="0.2">
      <c r="E276" s="19"/>
    </row>
    <row r="277" spans="5:5" ht="12.75" x14ac:dyDescent="0.2">
      <c r="E277" s="19"/>
    </row>
    <row r="278" spans="5:5" ht="12.75" x14ac:dyDescent="0.2">
      <c r="E278" s="19"/>
    </row>
    <row r="279" spans="5:5" ht="12.75" x14ac:dyDescent="0.2">
      <c r="E279" s="19"/>
    </row>
    <row r="280" spans="5:5" ht="12.75" x14ac:dyDescent="0.2">
      <c r="E280" s="19"/>
    </row>
    <row r="281" spans="5:5" ht="12.75" x14ac:dyDescent="0.2">
      <c r="E281" s="19"/>
    </row>
    <row r="282" spans="5:5" ht="12.75" x14ac:dyDescent="0.2">
      <c r="E282" s="19"/>
    </row>
    <row r="283" spans="5:5" ht="12.75" x14ac:dyDescent="0.2">
      <c r="E283" s="19"/>
    </row>
    <row r="284" spans="5:5" ht="12.75" x14ac:dyDescent="0.2">
      <c r="E284" s="19"/>
    </row>
    <row r="285" spans="5:5" ht="12.75" x14ac:dyDescent="0.2">
      <c r="E285" s="19"/>
    </row>
    <row r="286" spans="5:5" ht="12.75" x14ac:dyDescent="0.2">
      <c r="E286" s="19"/>
    </row>
    <row r="287" spans="5:5" ht="12.75" x14ac:dyDescent="0.2">
      <c r="E287" s="19"/>
    </row>
    <row r="288" spans="5:5" ht="12.75" x14ac:dyDescent="0.2">
      <c r="E288" s="19"/>
    </row>
    <row r="289" spans="5:5" ht="12.75" x14ac:dyDescent="0.2">
      <c r="E289" s="19"/>
    </row>
    <row r="290" spans="5:5" ht="12.75" x14ac:dyDescent="0.2">
      <c r="E290" s="19"/>
    </row>
    <row r="291" spans="5:5" ht="12.75" x14ac:dyDescent="0.2">
      <c r="E291" s="19"/>
    </row>
    <row r="292" spans="5:5" ht="12.75" x14ac:dyDescent="0.2">
      <c r="E292" s="19"/>
    </row>
    <row r="293" spans="5:5" ht="12.75" x14ac:dyDescent="0.2">
      <c r="E293" s="19"/>
    </row>
    <row r="294" spans="5:5" ht="12.75" x14ac:dyDescent="0.2">
      <c r="E294" s="19"/>
    </row>
    <row r="295" spans="5:5" ht="12.75" x14ac:dyDescent="0.2">
      <c r="E295" s="19"/>
    </row>
    <row r="296" spans="5:5" ht="12.75" x14ac:dyDescent="0.2">
      <c r="E296" s="19"/>
    </row>
    <row r="297" spans="5:5" ht="12.75" x14ac:dyDescent="0.2">
      <c r="E297" s="19"/>
    </row>
    <row r="298" spans="5:5" ht="12.75" x14ac:dyDescent="0.2">
      <c r="E298" s="19"/>
    </row>
    <row r="299" spans="5:5" ht="12.75" x14ac:dyDescent="0.2">
      <c r="E299" s="19"/>
    </row>
    <row r="300" spans="5:5" ht="12.75" x14ac:dyDescent="0.2">
      <c r="E300" s="19"/>
    </row>
    <row r="301" spans="5:5" ht="12.75" x14ac:dyDescent="0.2">
      <c r="E301" s="19"/>
    </row>
    <row r="302" spans="5:5" ht="12.75" x14ac:dyDescent="0.2">
      <c r="E302" s="19"/>
    </row>
    <row r="303" spans="5:5" ht="12.75" x14ac:dyDescent="0.2">
      <c r="E303" s="19"/>
    </row>
    <row r="304" spans="5:5" ht="12.75" x14ac:dyDescent="0.2">
      <c r="E304" s="19"/>
    </row>
    <row r="305" spans="5:5" ht="12.75" x14ac:dyDescent="0.2">
      <c r="E305" s="19"/>
    </row>
    <row r="306" spans="5:5" ht="12.75" x14ac:dyDescent="0.2">
      <c r="E306" s="19"/>
    </row>
    <row r="307" spans="5:5" ht="12.75" x14ac:dyDescent="0.2">
      <c r="E307" s="19"/>
    </row>
    <row r="308" spans="5:5" ht="12.75" x14ac:dyDescent="0.2">
      <c r="E308" s="19"/>
    </row>
    <row r="309" spans="5:5" ht="12.75" x14ac:dyDescent="0.2">
      <c r="E309" s="19"/>
    </row>
    <row r="310" spans="5:5" ht="12.75" x14ac:dyDescent="0.2">
      <c r="E310" s="19"/>
    </row>
    <row r="311" spans="5:5" ht="12.75" x14ac:dyDescent="0.2">
      <c r="E311" s="19"/>
    </row>
    <row r="312" spans="5:5" ht="12.75" x14ac:dyDescent="0.2">
      <c r="E312" s="19"/>
    </row>
    <row r="313" spans="5:5" ht="12.75" x14ac:dyDescent="0.2">
      <c r="E313" s="19"/>
    </row>
    <row r="314" spans="5:5" ht="12.75" x14ac:dyDescent="0.2">
      <c r="E314" s="19"/>
    </row>
    <row r="315" spans="5:5" ht="12.75" x14ac:dyDescent="0.2">
      <c r="E315" s="19"/>
    </row>
    <row r="316" spans="5:5" ht="12.75" x14ac:dyDescent="0.2">
      <c r="E316" s="19"/>
    </row>
    <row r="317" spans="5:5" ht="12.75" x14ac:dyDescent="0.2">
      <c r="E317" s="19"/>
    </row>
    <row r="318" spans="5:5" ht="12.75" x14ac:dyDescent="0.2">
      <c r="E318" s="19"/>
    </row>
    <row r="319" spans="5:5" ht="12.75" x14ac:dyDescent="0.2">
      <c r="E319" s="19"/>
    </row>
    <row r="320" spans="5:5" ht="12.75" x14ac:dyDescent="0.2">
      <c r="E320" s="19"/>
    </row>
    <row r="321" spans="5:5" ht="12.75" x14ac:dyDescent="0.2">
      <c r="E321" s="19"/>
    </row>
    <row r="322" spans="5:5" ht="12.75" x14ac:dyDescent="0.2">
      <c r="E322" s="19"/>
    </row>
    <row r="323" spans="5:5" ht="12.75" x14ac:dyDescent="0.2">
      <c r="E323" s="19"/>
    </row>
    <row r="324" spans="5:5" ht="12.75" x14ac:dyDescent="0.2">
      <c r="E324" s="19"/>
    </row>
    <row r="325" spans="5:5" ht="12.75" x14ac:dyDescent="0.2">
      <c r="E325" s="19"/>
    </row>
    <row r="326" spans="5:5" ht="12.75" x14ac:dyDescent="0.2">
      <c r="E326" s="19"/>
    </row>
    <row r="327" spans="5:5" ht="12.75" x14ac:dyDescent="0.2">
      <c r="E327" s="19"/>
    </row>
    <row r="328" spans="5:5" ht="12.75" x14ac:dyDescent="0.2">
      <c r="E328" s="19"/>
    </row>
    <row r="329" spans="5:5" ht="12.75" x14ac:dyDescent="0.2">
      <c r="E329" s="19"/>
    </row>
    <row r="330" spans="5:5" ht="12.75" x14ac:dyDescent="0.2">
      <c r="E330" s="19"/>
    </row>
    <row r="331" spans="5:5" ht="12.75" x14ac:dyDescent="0.2">
      <c r="E331" s="19"/>
    </row>
    <row r="332" spans="5:5" ht="12.75" x14ac:dyDescent="0.2">
      <c r="E332" s="19"/>
    </row>
    <row r="333" spans="5:5" ht="12.75" x14ac:dyDescent="0.2">
      <c r="E333" s="19"/>
    </row>
    <row r="334" spans="5:5" ht="12.75" x14ac:dyDescent="0.2">
      <c r="E334" s="19"/>
    </row>
    <row r="335" spans="5:5" ht="12.75" x14ac:dyDescent="0.2">
      <c r="E335" s="19"/>
    </row>
    <row r="336" spans="5:5" ht="12.75" x14ac:dyDescent="0.2">
      <c r="E336" s="19"/>
    </row>
    <row r="337" spans="5:5" ht="12.75" x14ac:dyDescent="0.2">
      <c r="E337" s="19"/>
    </row>
    <row r="338" spans="5:5" ht="12.75" x14ac:dyDescent="0.2">
      <c r="E338" s="19"/>
    </row>
    <row r="339" spans="5:5" ht="12.75" x14ac:dyDescent="0.2">
      <c r="E339" s="19"/>
    </row>
    <row r="340" spans="5:5" ht="12.75" x14ac:dyDescent="0.2">
      <c r="E340" s="19"/>
    </row>
    <row r="341" spans="5:5" ht="12.75" x14ac:dyDescent="0.2">
      <c r="E341" s="19"/>
    </row>
    <row r="342" spans="5:5" ht="12.75" x14ac:dyDescent="0.2">
      <c r="E342" s="19"/>
    </row>
    <row r="343" spans="5:5" ht="12.75" x14ac:dyDescent="0.2">
      <c r="E343" s="19"/>
    </row>
    <row r="344" spans="5:5" ht="12.75" x14ac:dyDescent="0.2">
      <c r="E344" s="19"/>
    </row>
    <row r="345" spans="5:5" ht="12.75" x14ac:dyDescent="0.2">
      <c r="E345" s="19"/>
    </row>
    <row r="346" spans="5:5" ht="12.75" x14ac:dyDescent="0.2">
      <c r="E346" s="19"/>
    </row>
    <row r="347" spans="5:5" ht="12.75" x14ac:dyDescent="0.2">
      <c r="E347" s="19"/>
    </row>
    <row r="348" spans="5:5" ht="12.75" x14ac:dyDescent="0.2">
      <c r="E348" s="19"/>
    </row>
    <row r="349" spans="5:5" ht="12.75" x14ac:dyDescent="0.2">
      <c r="E349" s="19"/>
    </row>
    <row r="350" spans="5:5" ht="12.75" x14ac:dyDescent="0.2">
      <c r="E350" s="19"/>
    </row>
    <row r="351" spans="5:5" ht="12.75" x14ac:dyDescent="0.2">
      <c r="E351" s="19"/>
    </row>
    <row r="352" spans="5:5" ht="12.75" x14ac:dyDescent="0.2">
      <c r="E352" s="19"/>
    </row>
    <row r="353" spans="5:5" ht="12.75" x14ac:dyDescent="0.2">
      <c r="E353" s="19"/>
    </row>
    <row r="354" spans="5:5" ht="12.75" x14ac:dyDescent="0.2">
      <c r="E354" s="19"/>
    </row>
    <row r="355" spans="5:5" ht="12.75" x14ac:dyDescent="0.2">
      <c r="E355" s="19"/>
    </row>
    <row r="356" spans="5:5" ht="12.75" x14ac:dyDescent="0.2">
      <c r="E356" s="19"/>
    </row>
    <row r="357" spans="5:5" ht="12.75" x14ac:dyDescent="0.2">
      <c r="E357" s="19"/>
    </row>
    <row r="358" spans="5:5" ht="12.75" x14ac:dyDescent="0.2">
      <c r="E358" s="19"/>
    </row>
    <row r="359" spans="5:5" ht="12.75" x14ac:dyDescent="0.2">
      <c r="E359" s="19"/>
    </row>
    <row r="360" spans="5:5" ht="12.75" x14ac:dyDescent="0.2">
      <c r="E360" s="19"/>
    </row>
    <row r="361" spans="5:5" ht="12.75" x14ac:dyDescent="0.2">
      <c r="E361" s="19"/>
    </row>
    <row r="362" spans="5:5" ht="12.75" x14ac:dyDescent="0.2">
      <c r="E362" s="19"/>
    </row>
    <row r="363" spans="5:5" ht="12.75" x14ac:dyDescent="0.2">
      <c r="E363" s="19"/>
    </row>
    <row r="364" spans="5:5" ht="12.75" x14ac:dyDescent="0.2">
      <c r="E364" s="19"/>
    </row>
    <row r="365" spans="5:5" ht="12.75" x14ac:dyDescent="0.2">
      <c r="E365" s="19"/>
    </row>
    <row r="366" spans="5:5" ht="12.75" x14ac:dyDescent="0.2">
      <c r="E366" s="19"/>
    </row>
    <row r="367" spans="5:5" ht="12.75" x14ac:dyDescent="0.2">
      <c r="E367" s="19"/>
    </row>
    <row r="368" spans="5:5" ht="12.75" x14ac:dyDescent="0.2">
      <c r="E368" s="19"/>
    </row>
    <row r="369" spans="5:5" ht="12.75" x14ac:dyDescent="0.2">
      <c r="E369" s="19"/>
    </row>
    <row r="370" spans="5:5" ht="12.75" x14ac:dyDescent="0.2">
      <c r="E370" s="19"/>
    </row>
    <row r="371" spans="5:5" ht="12.75" x14ac:dyDescent="0.2">
      <c r="E371" s="19"/>
    </row>
    <row r="372" spans="5:5" ht="12.75" x14ac:dyDescent="0.2">
      <c r="E372" s="19"/>
    </row>
    <row r="373" spans="5:5" ht="12.75" x14ac:dyDescent="0.2">
      <c r="E373" s="19"/>
    </row>
    <row r="374" spans="5:5" ht="12.75" x14ac:dyDescent="0.2">
      <c r="E374" s="19"/>
    </row>
    <row r="375" spans="5:5" ht="12.75" x14ac:dyDescent="0.2">
      <c r="E375" s="19"/>
    </row>
    <row r="376" spans="5:5" ht="12.75" x14ac:dyDescent="0.2">
      <c r="E376" s="19"/>
    </row>
    <row r="377" spans="5:5" ht="12.75" x14ac:dyDescent="0.2">
      <c r="E377" s="19"/>
    </row>
    <row r="378" spans="5:5" ht="12.75" x14ac:dyDescent="0.2">
      <c r="E378" s="19"/>
    </row>
    <row r="379" spans="5:5" ht="12.75" x14ac:dyDescent="0.2">
      <c r="E379" s="19"/>
    </row>
    <row r="380" spans="5:5" ht="12.75" x14ac:dyDescent="0.2">
      <c r="E380" s="19"/>
    </row>
    <row r="381" spans="5:5" ht="12.75" x14ac:dyDescent="0.2">
      <c r="E381" s="19"/>
    </row>
    <row r="382" spans="5:5" ht="12.75" x14ac:dyDescent="0.2">
      <c r="E382" s="19"/>
    </row>
    <row r="383" spans="5:5" ht="12.75" x14ac:dyDescent="0.2">
      <c r="E383" s="19"/>
    </row>
    <row r="384" spans="5:5" ht="12.75" x14ac:dyDescent="0.2">
      <c r="E384" s="19"/>
    </row>
    <row r="385" spans="5:5" ht="12.75" x14ac:dyDescent="0.2">
      <c r="E385" s="19"/>
    </row>
    <row r="386" spans="5:5" ht="12.75" x14ac:dyDescent="0.2">
      <c r="E386" s="19"/>
    </row>
    <row r="387" spans="5:5" ht="12.75" x14ac:dyDescent="0.2">
      <c r="E387" s="19"/>
    </row>
    <row r="388" spans="5:5" ht="12.75" x14ac:dyDescent="0.2">
      <c r="E388" s="19"/>
    </row>
    <row r="389" spans="5:5" ht="12.75" x14ac:dyDescent="0.2">
      <c r="E389" s="19"/>
    </row>
    <row r="390" spans="5:5" ht="12.75" x14ac:dyDescent="0.2">
      <c r="E390" s="19"/>
    </row>
    <row r="391" spans="5:5" ht="12.75" x14ac:dyDescent="0.2">
      <c r="E391" s="19"/>
    </row>
    <row r="392" spans="5:5" ht="12.75" x14ac:dyDescent="0.2">
      <c r="E392" s="19"/>
    </row>
    <row r="393" spans="5:5" ht="12.75" x14ac:dyDescent="0.2">
      <c r="E393" s="19"/>
    </row>
    <row r="394" spans="5:5" ht="12.75" x14ac:dyDescent="0.2">
      <c r="E394" s="19"/>
    </row>
    <row r="395" spans="5:5" ht="12.75" x14ac:dyDescent="0.2">
      <c r="E395" s="19"/>
    </row>
    <row r="396" spans="5:5" ht="12.75" x14ac:dyDescent="0.2">
      <c r="E396" s="19"/>
    </row>
    <row r="397" spans="5:5" ht="12.75" x14ac:dyDescent="0.2">
      <c r="E397" s="19"/>
    </row>
    <row r="398" spans="5:5" ht="12.75" x14ac:dyDescent="0.2">
      <c r="E398" s="19"/>
    </row>
    <row r="399" spans="5:5" ht="12.75" x14ac:dyDescent="0.2">
      <c r="E399" s="19"/>
    </row>
    <row r="400" spans="5:5" ht="12.75" x14ac:dyDescent="0.2">
      <c r="E400" s="19"/>
    </row>
    <row r="401" spans="5:5" ht="12.75" x14ac:dyDescent="0.2">
      <c r="E401" s="19"/>
    </row>
    <row r="402" spans="5:5" ht="12.75" x14ac:dyDescent="0.2">
      <c r="E402" s="19"/>
    </row>
    <row r="403" spans="5:5" ht="12.75" x14ac:dyDescent="0.2">
      <c r="E403" s="19"/>
    </row>
    <row r="404" spans="5:5" ht="12.75" x14ac:dyDescent="0.2">
      <c r="E404" s="19"/>
    </row>
    <row r="405" spans="5:5" ht="12.75" x14ac:dyDescent="0.2">
      <c r="E405" s="19"/>
    </row>
    <row r="406" spans="5:5" ht="12.75" x14ac:dyDescent="0.2">
      <c r="E406" s="19"/>
    </row>
    <row r="407" spans="5:5" ht="12.75" x14ac:dyDescent="0.2">
      <c r="E407" s="19"/>
    </row>
    <row r="408" spans="5:5" ht="12.75" x14ac:dyDescent="0.2">
      <c r="E408" s="19"/>
    </row>
    <row r="409" spans="5:5" ht="12.75" x14ac:dyDescent="0.2">
      <c r="E409" s="19"/>
    </row>
    <row r="410" spans="5:5" ht="12.75" x14ac:dyDescent="0.2">
      <c r="E410" s="19"/>
    </row>
    <row r="411" spans="5:5" ht="12.75" x14ac:dyDescent="0.2">
      <c r="E411" s="19"/>
    </row>
    <row r="412" spans="5:5" ht="12.75" x14ac:dyDescent="0.2">
      <c r="E412" s="19"/>
    </row>
    <row r="413" spans="5:5" ht="12.75" x14ac:dyDescent="0.2">
      <c r="E413" s="19"/>
    </row>
    <row r="414" spans="5:5" ht="12.75" x14ac:dyDescent="0.2">
      <c r="E414" s="19"/>
    </row>
    <row r="415" spans="5:5" ht="12.75" x14ac:dyDescent="0.2">
      <c r="E415" s="19"/>
    </row>
    <row r="416" spans="5:5" ht="12.75" x14ac:dyDescent="0.2">
      <c r="E416" s="19"/>
    </row>
    <row r="417" spans="5:5" ht="12.75" x14ac:dyDescent="0.2">
      <c r="E417" s="19"/>
    </row>
    <row r="418" spans="5:5" ht="12.75" x14ac:dyDescent="0.2">
      <c r="E418" s="19"/>
    </row>
    <row r="419" spans="5:5" ht="12.75" x14ac:dyDescent="0.2">
      <c r="E419" s="19"/>
    </row>
    <row r="420" spans="5:5" ht="12.75" x14ac:dyDescent="0.2">
      <c r="E420" s="19"/>
    </row>
    <row r="421" spans="5:5" ht="12.75" x14ac:dyDescent="0.2">
      <c r="E421" s="19"/>
    </row>
    <row r="422" spans="5:5" ht="12.75" x14ac:dyDescent="0.2">
      <c r="E422" s="19"/>
    </row>
    <row r="423" spans="5:5" ht="12.75" x14ac:dyDescent="0.2">
      <c r="E423" s="19"/>
    </row>
    <row r="424" spans="5:5" ht="12.75" x14ac:dyDescent="0.2">
      <c r="E424" s="19"/>
    </row>
    <row r="425" spans="5:5" ht="12.75" x14ac:dyDescent="0.2">
      <c r="E425" s="19"/>
    </row>
    <row r="426" spans="5:5" ht="12.75" x14ac:dyDescent="0.2">
      <c r="E426" s="19"/>
    </row>
    <row r="427" spans="5:5" ht="12.75" x14ac:dyDescent="0.2">
      <c r="E427" s="19"/>
    </row>
    <row r="428" spans="5:5" ht="12.75" x14ac:dyDescent="0.2">
      <c r="E428" s="19"/>
    </row>
    <row r="429" spans="5:5" ht="12.75" x14ac:dyDescent="0.2">
      <c r="E429" s="19"/>
    </row>
    <row r="430" spans="5:5" ht="12.75" x14ac:dyDescent="0.2">
      <c r="E430" s="19"/>
    </row>
    <row r="431" spans="5:5" ht="12.75" x14ac:dyDescent="0.2">
      <c r="E431" s="19"/>
    </row>
    <row r="432" spans="5:5" ht="12.75" x14ac:dyDescent="0.2">
      <c r="E432" s="19"/>
    </row>
    <row r="433" spans="5:5" ht="12.75" x14ac:dyDescent="0.2">
      <c r="E433" s="19"/>
    </row>
    <row r="434" spans="5:5" ht="12.75" x14ac:dyDescent="0.2">
      <c r="E434" s="19"/>
    </row>
    <row r="435" spans="5:5" ht="12.75" x14ac:dyDescent="0.2">
      <c r="E435" s="19"/>
    </row>
    <row r="436" spans="5:5" ht="12.75" x14ac:dyDescent="0.2">
      <c r="E436" s="19"/>
    </row>
    <row r="437" spans="5:5" ht="12.75" x14ac:dyDescent="0.2">
      <c r="E437" s="19"/>
    </row>
    <row r="438" spans="5:5" ht="12.75" x14ac:dyDescent="0.2">
      <c r="E438" s="19"/>
    </row>
    <row r="439" spans="5:5" ht="12.75" x14ac:dyDescent="0.2">
      <c r="E439" s="19"/>
    </row>
    <row r="440" spans="5:5" ht="12.75" x14ac:dyDescent="0.2">
      <c r="E440" s="19"/>
    </row>
    <row r="441" spans="5:5" ht="12.75" x14ac:dyDescent="0.2">
      <c r="E441" s="19"/>
    </row>
    <row r="442" spans="5:5" ht="12.75" x14ac:dyDescent="0.2">
      <c r="E442" s="19"/>
    </row>
    <row r="443" spans="5:5" ht="12.75" x14ac:dyDescent="0.2">
      <c r="E443" s="19"/>
    </row>
    <row r="444" spans="5:5" ht="12.75" x14ac:dyDescent="0.2">
      <c r="E444" s="19"/>
    </row>
    <row r="445" spans="5:5" ht="12.75" x14ac:dyDescent="0.2">
      <c r="E445" s="19"/>
    </row>
    <row r="446" spans="5:5" ht="12.75" x14ac:dyDescent="0.2">
      <c r="E446" s="19"/>
    </row>
    <row r="447" spans="5:5" ht="12.75" x14ac:dyDescent="0.2">
      <c r="E447" s="19"/>
    </row>
    <row r="448" spans="5:5" ht="12.75" x14ac:dyDescent="0.2">
      <c r="E448" s="19"/>
    </row>
    <row r="449" spans="5:5" ht="12.75" x14ac:dyDescent="0.2">
      <c r="E449" s="19"/>
    </row>
    <row r="450" spans="5:5" ht="12.75" x14ac:dyDescent="0.2">
      <c r="E450" s="19"/>
    </row>
    <row r="451" spans="5:5" ht="12.75" x14ac:dyDescent="0.2">
      <c r="E451" s="19"/>
    </row>
    <row r="452" spans="5:5" ht="12.75" x14ac:dyDescent="0.2">
      <c r="E452" s="19"/>
    </row>
    <row r="453" spans="5:5" ht="12.75" x14ac:dyDescent="0.2">
      <c r="E453" s="19"/>
    </row>
    <row r="454" spans="5:5" ht="12.75" x14ac:dyDescent="0.2">
      <c r="E454" s="19"/>
    </row>
    <row r="455" spans="5:5" ht="12.75" x14ac:dyDescent="0.2">
      <c r="E455" s="19"/>
    </row>
    <row r="456" spans="5:5" ht="12.75" x14ac:dyDescent="0.2">
      <c r="E456" s="19"/>
    </row>
    <row r="457" spans="5:5" ht="12.75" x14ac:dyDescent="0.2">
      <c r="E457" s="19"/>
    </row>
    <row r="458" spans="5:5" ht="12.75" x14ac:dyDescent="0.2">
      <c r="E458" s="19"/>
    </row>
    <row r="459" spans="5:5" ht="12.75" x14ac:dyDescent="0.2">
      <c r="E459" s="19"/>
    </row>
    <row r="460" spans="5:5" ht="12.75" x14ac:dyDescent="0.2">
      <c r="E460" s="19"/>
    </row>
    <row r="461" spans="5:5" ht="12.75" x14ac:dyDescent="0.2">
      <c r="E461" s="19"/>
    </row>
    <row r="462" spans="5:5" ht="12.75" x14ac:dyDescent="0.2">
      <c r="E462" s="19"/>
    </row>
    <row r="463" spans="5:5" ht="12.75" x14ac:dyDescent="0.2">
      <c r="E463" s="19"/>
    </row>
    <row r="464" spans="5:5" ht="12.75" x14ac:dyDescent="0.2">
      <c r="E464" s="19"/>
    </row>
    <row r="465" spans="5:5" ht="12.75" x14ac:dyDescent="0.2">
      <c r="E465" s="19"/>
    </row>
    <row r="466" spans="5:5" ht="12.75" x14ac:dyDescent="0.2">
      <c r="E466" s="19"/>
    </row>
    <row r="467" spans="5:5" ht="12.75" x14ac:dyDescent="0.2">
      <c r="E467" s="19"/>
    </row>
    <row r="468" spans="5:5" ht="12.75" x14ac:dyDescent="0.2">
      <c r="E468" s="19"/>
    </row>
    <row r="469" spans="5:5" ht="12.75" x14ac:dyDescent="0.2">
      <c r="E469" s="19"/>
    </row>
    <row r="470" spans="5:5" ht="12.75" x14ac:dyDescent="0.2">
      <c r="E470" s="19"/>
    </row>
    <row r="471" spans="5:5" ht="12.75" x14ac:dyDescent="0.2">
      <c r="E471" s="19"/>
    </row>
    <row r="472" spans="5:5" ht="12.75" x14ac:dyDescent="0.2">
      <c r="E472" s="19"/>
    </row>
    <row r="473" spans="5:5" ht="12.75" x14ac:dyDescent="0.2">
      <c r="E473" s="19"/>
    </row>
    <row r="474" spans="5:5" ht="12.75" x14ac:dyDescent="0.2">
      <c r="E474" s="19"/>
    </row>
    <row r="475" spans="5:5" ht="12.75" x14ac:dyDescent="0.2">
      <c r="E475" s="19"/>
    </row>
    <row r="476" spans="5:5" ht="12.75" x14ac:dyDescent="0.2">
      <c r="E476" s="19"/>
    </row>
    <row r="477" spans="5:5" ht="12.75" x14ac:dyDescent="0.2">
      <c r="E477" s="19"/>
    </row>
    <row r="478" spans="5:5" ht="12.75" x14ac:dyDescent="0.2">
      <c r="E478" s="19"/>
    </row>
    <row r="479" spans="5:5" ht="12.75" x14ac:dyDescent="0.2">
      <c r="E479" s="19"/>
    </row>
    <row r="480" spans="5:5" ht="12.75" x14ac:dyDescent="0.2">
      <c r="E480" s="19"/>
    </row>
    <row r="481" spans="5:5" ht="12.75" x14ac:dyDescent="0.2">
      <c r="E481" s="19"/>
    </row>
    <row r="482" spans="5:5" ht="12.75" x14ac:dyDescent="0.2">
      <c r="E482" s="19"/>
    </row>
    <row r="483" spans="5:5" ht="12.75" x14ac:dyDescent="0.2">
      <c r="E483" s="19"/>
    </row>
    <row r="484" spans="5:5" ht="12.75" x14ac:dyDescent="0.2">
      <c r="E484" s="19"/>
    </row>
    <row r="485" spans="5:5" ht="12.75" x14ac:dyDescent="0.2">
      <c r="E485" s="19"/>
    </row>
    <row r="486" spans="5:5" ht="12.75" x14ac:dyDescent="0.2">
      <c r="E486" s="19"/>
    </row>
    <row r="487" spans="5:5" ht="12.75" x14ac:dyDescent="0.2">
      <c r="E487" s="19"/>
    </row>
    <row r="488" spans="5:5" ht="12.75" x14ac:dyDescent="0.2">
      <c r="E488" s="19"/>
    </row>
    <row r="489" spans="5:5" ht="12.75" x14ac:dyDescent="0.2">
      <c r="E489" s="19"/>
    </row>
    <row r="490" spans="5:5" ht="12.75" x14ac:dyDescent="0.2">
      <c r="E490" s="19"/>
    </row>
    <row r="491" spans="5:5" ht="12.75" x14ac:dyDescent="0.2">
      <c r="E491" s="19"/>
    </row>
    <row r="492" spans="5:5" ht="12.75" x14ac:dyDescent="0.2">
      <c r="E492" s="19"/>
    </row>
    <row r="493" spans="5:5" ht="12.75" x14ac:dyDescent="0.2">
      <c r="E493" s="19"/>
    </row>
    <row r="494" spans="5:5" ht="12.75" x14ac:dyDescent="0.2">
      <c r="E494" s="19"/>
    </row>
    <row r="495" spans="5:5" ht="12.75" x14ac:dyDescent="0.2">
      <c r="E495" s="19"/>
    </row>
    <row r="496" spans="5:5" ht="12.75" x14ac:dyDescent="0.2">
      <c r="E496" s="19"/>
    </row>
    <row r="497" spans="5:5" ht="12.75" x14ac:dyDescent="0.2">
      <c r="E497" s="19"/>
    </row>
    <row r="498" spans="5:5" ht="12.75" x14ac:dyDescent="0.2">
      <c r="E498" s="19"/>
    </row>
    <row r="499" spans="5:5" ht="12.75" x14ac:dyDescent="0.2">
      <c r="E499" s="19"/>
    </row>
    <row r="500" spans="5:5" ht="12.75" x14ac:dyDescent="0.2">
      <c r="E500" s="19"/>
    </row>
    <row r="501" spans="5:5" ht="12.75" x14ac:dyDescent="0.2">
      <c r="E501" s="19"/>
    </row>
    <row r="502" spans="5:5" ht="12.75" x14ac:dyDescent="0.2">
      <c r="E502" s="19"/>
    </row>
    <row r="503" spans="5:5" ht="12.75" x14ac:dyDescent="0.2">
      <c r="E503" s="19"/>
    </row>
    <row r="504" spans="5:5" ht="12.75" x14ac:dyDescent="0.2">
      <c r="E504" s="19"/>
    </row>
    <row r="505" spans="5:5" ht="12.75" x14ac:dyDescent="0.2">
      <c r="E505" s="19"/>
    </row>
    <row r="506" spans="5:5" ht="12.75" x14ac:dyDescent="0.2">
      <c r="E506" s="19"/>
    </row>
    <row r="507" spans="5:5" ht="12.75" x14ac:dyDescent="0.2">
      <c r="E507" s="19"/>
    </row>
    <row r="508" spans="5:5" ht="12.75" x14ac:dyDescent="0.2">
      <c r="E508" s="19"/>
    </row>
    <row r="509" spans="5:5" ht="12.75" x14ac:dyDescent="0.2">
      <c r="E509" s="19"/>
    </row>
    <row r="510" spans="5:5" ht="12.75" x14ac:dyDescent="0.2">
      <c r="E510" s="19"/>
    </row>
    <row r="511" spans="5:5" ht="12.75" x14ac:dyDescent="0.2">
      <c r="E511" s="19"/>
    </row>
    <row r="512" spans="5:5" ht="12.75" x14ac:dyDescent="0.2">
      <c r="E512" s="19"/>
    </row>
    <row r="513" spans="5:5" ht="12.75" x14ac:dyDescent="0.2">
      <c r="E513" s="19"/>
    </row>
    <row r="514" spans="5:5" ht="12.75" x14ac:dyDescent="0.2">
      <c r="E514" s="19"/>
    </row>
    <row r="515" spans="5:5" ht="12.75" x14ac:dyDescent="0.2">
      <c r="E515" s="19"/>
    </row>
    <row r="516" spans="5:5" ht="12.75" x14ac:dyDescent="0.2">
      <c r="E516" s="19"/>
    </row>
    <row r="517" spans="5:5" ht="12.75" x14ac:dyDescent="0.2">
      <c r="E517" s="19"/>
    </row>
    <row r="518" spans="5:5" ht="12.75" x14ac:dyDescent="0.2">
      <c r="E518" s="19"/>
    </row>
    <row r="519" spans="5:5" ht="12.75" x14ac:dyDescent="0.2">
      <c r="E519" s="19"/>
    </row>
    <row r="520" spans="5:5" ht="12.75" x14ac:dyDescent="0.2">
      <c r="E520" s="19"/>
    </row>
    <row r="521" spans="5:5" ht="12.75" x14ac:dyDescent="0.2">
      <c r="E521" s="19"/>
    </row>
    <row r="522" spans="5:5" ht="12.75" x14ac:dyDescent="0.2">
      <c r="E522" s="19"/>
    </row>
    <row r="523" spans="5:5" ht="12.75" x14ac:dyDescent="0.2">
      <c r="E523" s="19"/>
    </row>
    <row r="524" spans="5:5" ht="12.75" x14ac:dyDescent="0.2">
      <c r="E524" s="19"/>
    </row>
    <row r="525" spans="5:5" ht="12.75" x14ac:dyDescent="0.2">
      <c r="E525" s="19"/>
    </row>
    <row r="526" spans="5:5" ht="12.75" x14ac:dyDescent="0.2">
      <c r="E526" s="19"/>
    </row>
    <row r="527" spans="5:5" ht="12.75" x14ac:dyDescent="0.2">
      <c r="E527" s="19"/>
    </row>
    <row r="528" spans="5:5" ht="12.75" x14ac:dyDescent="0.2">
      <c r="E528" s="19"/>
    </row>
    <row r="529" spans="5:5" ht="12.75" x14ac:dyDescent="0.2">
      <c r="E529" s="19"/>
    </row>
    <row r="530" spans="5:5" ht="12.75" x14ac:dyDescent="0.2">
      <c r="E530" s="19"/>
    </row>
    <row r="531" spans="5:5" ht="12.75" x14ac:dyDescent="0.2">
      <c r="E531" s="19"/>
    </row>
    <row r="532" spans="5:5" ht="12.75" x14ac:dyDescent="0.2">
      <c r="E532" s="19"/>
    </row>
    <row r="533" spans="5:5" ht="12.75" x14ac:dyDescent="0.2">
      <c r="E533" s="19"/>
    </row>
    <row r="534" spans="5:5" ht="12.75" x14ac:dyDescent="0.2">
      <c r="E534" s="19"/>
    </row>
    <row r="535" spans="5:5" ht="12.75" x14ac:dyDescent="0.2">
      <c r="E535" s="19"/>
    </row>
    <row r="536" spans="5:5" ht="12.75" x14ac:dyDescent="0.2">
      <c r="E536" s="19"/>
    </row>
    <row r="537" spans="5:5" ht="12.75" x14ac:dyDescent="0.2">
      <c r="E537" s="19"/>
    </row>
    <row r="538" spans="5:5" ht="12.75" x14ac:dyDescent="0.2">
      <c r="E538" s="19"/>
    </row>
    <row r="539" spans="5:5" ht="12.75" x14ac:dyDescent="0.2">
      <c r="E539" s="19"/>
    </row>
    <row r="540" spans="5:5" ht="12.75" x14ac:dyDescent="0.2">
      <c r="E540" s="19"/>
    </row>
    <row r="541" spans="5:5" ht="12.75" x14ac:dyDescent="0.2">
      <c r="E541" s="19"/>
    </row>
    <row r="542" spans="5:5" ht="12.75" x14ac:dyDescent="0.2">
      <c r="E542" s="19"/>
    </row>
    <row r="543" spans="5:5" ht="12.75" x14ac:dyDescent="0.2">
      <c r="E543" s="19"/>
    </row>
    <row r="544" spans="5:5" ht="12.75" x14ac:dyDescent="0.2">
      <c r="E544" s="19"/>
    </row>
    <row r="545" spans="5:5" ht="12.75" x14ac:dyDescent="0.2">
      <c r="E545" s="19"/>
    </row>
    <row r="546" spans="5:5" ht="12.75" x14ac:dyDescent="0.2">
      <c r="E546" s="19"/>
    </row>
    <row r="547" spans="5:5" ht="12.75" x14ac:dyDescent="0.2">
      <c r="E547" s="19"/>
    </row>
    <row r="548" spans="5:5" ht="12.75" x14ac:dyDescent="0.2">
      <c r="E548" s="19"/>
    </row>
    <row r="549" spans="5:5" ht="12.75" x14ac:dyDescent="0.2">
      <c r="E549" s="19"/>
    </row>
    <row r="550" spans="5:5" ht="12.75" x14ac:dyDescent="0.2">
      <c r="E550" s="19"/>
    </row>
    <row r="551" spans="5:5" ht="12.75" x14ac:dyDescent="0.2">
      <c r="E551" s="19"/>
    </row>
    <row r="552" spans="5:5" ht="12.75" x14ac:dyDescent="0.2">
      <c r="E552" s="19"/>
    </row>
    <row r="553" spans="5:5" ht="12.75" x14ac:dyDescent="0.2">
      <c r="E553" s="19"/>
    </row>
    <row r="554" spans="5:5" ht="12.75" x14ac:dyDescent="0.2">
      <c r="E554" s="19"/>
    </row>
    <row r="555" spans="5:5" ht="12.75" x14ac:dyDescent="0.2">
      <c r="E555" s="19"/>
    </row>
    <row r="556" spans="5:5" ht="12.75" x14ac:dyDescent="0.2">
      <c r="E556" s="19"/>
    </row>
    <row r="557" spans="5:5" ht="12.75" x14ac:dyDescent="0.2">
      <c r="E557" s="19"/>
    </row>
    <row r="558" spans="5:5" ht="12.75" x14ac:dyDescent="0.2">
      <c r="E558" s="19"/>
    </row>
    <row r="559" spans="5:5" ht="12.75" x14ac:dyDescent="0.2">
      <c r="E559" s="19"/>
    </row>
    <row r="560" spans="5:5" ht="12.75" x14ac:dyDescent="0.2">
      <c r="E560" s="19"/>
    </row>
    <row r="561" spans="5:5" ht="12.75" x14ac:dyDescent="0.2">
      <c r="E561" s="19"/>
    </row>
    <row r="562" spans="5:5" ht="12.75" x14ac:dyDescent="0.2">
      <c r="E562" s="19"/>
    </row>
    <row r="563" spans="5:5" ht="12.75" x14ac:dyDescent="0.2">
      <c r="E563" s="19"/>
    </row>
    <row r="564" spans="5:5" ht="12.75" x14ac:dyDescent="0.2">
      <c r="E564" s="19"/>
    </row>
    <row r="565" spans="5:5" ht="12.75" x14ac:dyDescent="0.2">
      <c r="E565" s="19"/>
    </row>
    <row r="566" spans="5:5" ht="12.75" x14ac:dyDescent="0.2">
      <c r="E566" s="19"/>
    </row>
    <row r="567" spans="5:5" ht="12.75" x14ac:dyDescent="0.2">
      <c r="E567" s="19"/>
    </row>
    <row r="568" spans="5:5" ht="12.75" x14ac:dyDescent="0.2">
      <c r="E568" s="19"/>
    </row>
    <row r="569" spans="5:5" ht="12.75" x14ac:dyDescent="0.2">
      <c r="E569" s="19"/>
    </row>
    <row r="570" spans="5:5" ht="12.75" x14ac:dyDescent="0.2">
      <c r="E570" s="19"/>
    </row>
    <row r="571" spans="5:5" ht="12.75" x14ac:dyDescent="0.2">
      <c r="E571" s="19"/>
    </row>
    <row r="572" spans="5:5" ht="12.75" x14ac:dyDescent="0.2">
      <c r="E572" s="19"/>
    </row>
    <row r="573" spans="5:5" ht="12.75" x14ac:dyDescent="0.2">
      <c r="E573" s="19"/>
    </row>
    <row r="574" spans="5:5" ht="12.75" x14ac:dyDescent="0.2">
      <c r="E574" s="19"/>
    </row>
    <row r="575" spans="5:5" ht="12.75" x14ac:dyDescent="0.2">
      <c r="E575" s="19"/>
    </row>
    <row r="576" spans="5:5" ht="12.75" x14ac:dyDescent="0.2">
      <c r="E576" s="19"/>
    </row>
    <row r="577" spans="5:5" ht="12.75" x14ac:dyDescent="0.2">
      <c r="E577" s="19"/>
    </row>
    <row r="578" spans="5:5" ht="12.75" x14ac:dyDescent="0.2">
      <c r="E578" s="19"/>
    </row>
    <row r="579" spans="5:5" ht="12.75" x14ac:dyDescent="0.2">
      <c r="E579" s="19"/>
    </row>
    <row r="580" spans="5:5" ht="12.75" x14ac:dyDescent="0.2">
      <c r="E580" s="19"/>
    </row>
    <row r="581" spans="5:5" ht="12.75" x14ac:dyDescent="0.2">
      <c r="E581" s="19"/>
    </row>
    <row r="582" spans="5:5" ht="12.75" x14ac:dyDescent="0.2">
      <c r="E582" s="19"/>
    </row>
    <row r="583" spans="5:5" ht="12.75" x14ac:dyDescent="0.2">
      <c r="E583" s="19"/>
    </row>
    <row r="584" spans="5:5" ht="12.75" x14ac:dyDescent="0.2">
      <c r="E584" s="19"/>
    </row>
    <row r="585" spans="5:5" ht="12.75" x14ac:dyDescent="0.2">
      <c r="E585" s="19"/>
    </row>
    <row r="586" spans="5:5" ht="12.75" x14ac:dyDescent="0.2">
      <c r="E586" s="19"/>
    </row>
    <row r="587" spans="5:5" ht="12.75" x14ac:dyDescent="0.2">
      <c r="E587" s="19"/>
    </row>
    <row r="588" spans="5:5" ht="12.75" x14ac:dyDescent="0.2">
      <c r="E588" s="19"/>
    </row>
    <row r="589" spans="5:5" ht="12.75" x14ac:dyDescent="0.2">
      <c r="E589" s="19"/>
    </row>
    <row r="590" spans="5:5" ht="12.75" x14ac:dyDescent="0.2">
      <c r="E590" s="19"/>
    </row>
    <row r="591" spans="5:5" ht="12.75" x14ac:dyDescent="0.2">
      <c r="E591" s="19"/>
    </row>
    <row r="592" spans="5:5" ht="12.75" x14ac:dyDescent="0.2">
      <c r="E592" s="19"/>
    </row>
    <row r="593" spans="5:5" ht="12.75" x14ac:dyDescent="0.2">
      <c r="E593" s="19"/>
    </row>
    <row r="594" spans="5:5" ht="12.75" x14ac:dyDescent="0.2">
      <c r="E594" s="19"/>
    </row>
    <row r="595" spans="5:5" ht="12.75" x14ac:dyDescent="0.2">
      <c r="E595" s="19"/>
    </row>
    <row r="596" spans="5:5" ht="12.75" x14ac:dyDescent="0.2">
      <c r="E596" s="19"/>
    </row>
    <row r="597" spans="5:5" ht="12.75" x14ac:dyDescent="0.2">
      <c r="E597" s="19"/>
    </row>
    <row r="598" spans="5:5" ht="12.75" x14ac:dyDescent="0.2">
      <c r="E598" s="19"/>
    </row>
    <row r="599" spans="5:5" ht="12.75" x14ac:dyDescent="0.2">
      <c r="E599" s="19"/>
    </row>
    <row r="600" spans="5:5" ht="12.75" x14ac:dyDescent="0.2">
      <c r="E600" s="19"/>
    </row>
    <row r="601" spans="5:5" ht="12.75" x14ac:dyDescent="0.2">
      <c r="E601" s="19"/>
    </row>
    <row r="602" spans="5:5" ht="12.75" x14ac:dyDescent="0.2">
      <c r="E602" s="19"/>
    </row>
    <row r="603" spans="5:5" ht="12.75" x14ac:dyDescent="0.2">
      <c r="E603" s="19"/>
    </row>
    <row r="604" spans="5:5" ht="12.75" x14ac:dyDescent="0.2">
      <c r="E604" s="19"/>
    </row>
    <row r="605" spans="5:5" ht="12.75" x14ac:dyDescent="0.2">
      <c r="E605" s="19"/>
    </row>
    <row r="606" spans="5:5" ht="12.75" x14ac:dyDescent="0.2">
      <c r="E606" s="19"/>
    </row>
    <row r="607" spans="5:5" ht="12.75" x14ac:dyDescent="0.2">
      <c r="E607" s="19"/>
    </row>
    <row r="608" spans="5:5" ht="12.75" x14ac:dyDescent="0.2">
      <c r="E608" s="19"/>
    </row>
    <row r="609" spans="5:5" ht="12.75" x14ac:dyDescent="0.2">
      <c r="E609" s="19"/>
    </row>
    <row r="610" spans="5:5" ht="12.75" x14ac:dyDescent="0.2">
      <c r="E610" s="19"/>
    </row>
    <row r="611" spans="5:5" ht="12.75" x14ac:dyDescent="0.2">
      <c r="E611" s="19"/>
    </row>
    <row r="612" spans="5:5" ht="12.75" x14ac:dyDescent="0.2">
      <c r="E612" s="19"/>
    </row>
    <row r="613" spans="5:5" ht="12.75" x14ac:dyDescent="0.2">
      <c r="E613" s="19"/>
    </row>
    <row r="614" spans="5:5" ht="12.75" x14ac:dyDescent="0.2">
      <c r="E614" s="19"/>
    </row>
    <row r="615" spans="5:5" ht="12.75" x14ac:dyDescent="0.2">
      <c r="E615" s="19"/>
    </row>
    <row r="616" spans="5:5" ht="12.75" x14ac:dyDescent="0.2">
      <c r="E616" s="19"/>
    </row>
    <row r="617" spans="5:5" ht="12.75" x14ac:dyDescent="0.2">
      <c r="E617" s="19"/>
    </row>
    <row r="618" spans="5:5" ht="12.75" x14ac:dyDescent="0.2">
      <c r="E618" s="19"/>
    </row>
    <row r="619" spans="5:5" ht="12.75" x14ac:dyDescent="0.2">
      <c r="E619" s="19"/>
    </row>
    <row r="620" spans="5:5" ht="12.75" x14ac:dyDescent="0.2">
      <c r="E620" s="19"/>
    </row>
    <row r="621" spans="5:5" ht="12.75" x14ac:dyDescent="0.2">
      <c r="E621" s="19"/>
    </row>
    <row r="622" spans="5:5" ht="12.75" x14ac:dyDescent="0.2">
      <c r="E622" s="19"/>
    </row>
    <row r="623" spans="5:5" ht="12.75" x14ac:dyDescent="0.2">
      <c r="E623" s="19"/>
    </row>
    <row r="624" spans="5:5" ht="12.75" x14ac:dyDescent="0.2">
      <c r="E624" s="19"/>
    </row>
    <row r="625" spans="5:5" ht="12.75" x14ac:dyDescent="0.2">
      <c r="E625" s="19"/>
    </row>
    <row r="626" spans="5:5" ht="12.75" x14ac:dyDescent="0.2">
      <c r="E626" s="19"/>
    </row>
    <row r="627" spans="5:5" ht="12.75" x14ac:dyDescent="0.2">
      <c r="E627" s="19"/>
    </row>
    <row r="628" spans="5:5" ht="12.75" x14ac:dyDescent="0.2">
      <c r="E628" s="19"/>
    </row>
    <row r="629" spans="5:5" ht="12.75" x14ac:dyDescent="0.2">
      <c r="E629" s="19"/>
    </row>
    <row r="630" spans="5:5" ht="12.75" x14ac:dyDescent="0.2">
      <c r="E630" s="19"/>
    </row>
    <row r="631" spans="5:5" ht="12.75" x14ac:dyDescent="0.2">
      <c r="E631" s="19"/>
    </row>
    <row r="632" spans="5:5" ht="12.75" x14ac:dyDescent="0.2">
      <c r="E632" s="19"/>
    </row>
    <row r="633" spans="5:5" ht="12.75" x14ac:dyDescent="0.2">
      <c r="E633" s="19"/>
    </row>
    <row r="634" spans="5:5" ht="12.75" x14ac:dyDescent="0.2">
      <c r="E634" s="19"/>
    </row>
    <row r="635" spans="5:5" ht="12.75" x14ac:dyDescent="0.2">
      <c r="E635" s="19"/>
    </row>
    <row r="636" spans="5:5" ht="12.75" x14ac:dyDescent="0.2">
      <c r="E636" s="19"/>
    </row>
    <row r="637" spans="5:5" ht="12.75" x14ac:dyDescent="0.2">
      <c r="E637" s="19"/>
    </row>
    <row r="638" spans="5:5" ht="12.75" x14ac:dyDescent="0.2">
      <c r="E638" s="19"/>
    </row>
    <row r="639" spans="5:5" ht="12.75" x14ac:dyDescent="0.2">
      <c r="E639" s="19"/>
    </row>
    <row r="640" spans="5:5" ht="12.75" x14ac:dyDescent="0.2">
      <c r="E640" s="19"/>
    </row>
    <row r="641" spans="5:5" ht="12.75" x14ac:dyDescent="0.2">
      <c r="E641" s="19"/>
    </row>
    <row r="642" spans="5:5" ht="12.75" x14ac:dyDescent="0.2">
      <c r="E642" s="19"/>
    </row>
    <row r="643" spans="5:5" ht="12.75" x14ac:dyDescent="0.2">
      <c r="E643" s="19"/>
    </row>
    <row r="644" spans="5:5" ht="12.75" x14ac:dyDescent="0.2">
      <c r="E644" s="19"/>
    </row>
    <row r="645" spans="5:5" ht="12.75" x14ac:dyDescent="0.2">
      <c r="E645" s="19"/>
    </row>
    <row r="646" spans="5:5" ht="12.75" x14ac:dyDescent="0.2">
      <c r="E646" s="19"/>
    </row>
    <row r="647" spans="5:5" ht="12.75" x14ac:dyDescent="0.2">
      <c r="E647" s="19"/>
    </row>
    <row r="648" spans="5:5" ht="12.75" x14ac:dyDescent="0.2">
      <c r="E648" s="19"/>
    </row>
    <row r="649" spans="5:5" ht="12.75" x14ac:dyDescent="0.2">
      <c r="E649" s="19"/>
    </row>
    <row r="650" spans="5:5" ht="12.75" x14ac:dyDescent="0.2">
      <c r="E650" s="19"/>
    </row>
    <row r="651" spans="5:5" ht="12.75" x14ac:dyDescent="0.2">
      <c r="E651" s="19"/>
    </row>
    <row r="652" spans="5:5" ht="12.75" x14ac:dyDescent="0.2">
      <c r="E652" s="19"/>
    </row>
    <row r="653" spans="5:5" ht="12.75" x14ac:dyDescent="0.2">
      <c r="E653" s="19"/>
    </row>
    <row r="654" spans="5:5" ht="12.75" x14ac:dyDescent="0.2">
      <c r="E654" s="19"/>
    </row>
    <row r="655" spans="5:5" ht="12.75" x14ac:dyDescent="0.2">
      <c r="E655" s="19"/>
    </row>
    <row r="656" spans="5:5" ht="12.75" x14ac:dyDescent="0.2">
      <c r="E656" s="19"/>
    </row>
    <row r="657" spans="5:5" ht="12.75" x14ac:dyDescent="0.2">
      <c r="E657" s="19"/>
    </row>
    <row r="658" spans="5:5" ht="12.75" x14ac:dyDescent="0.2">
      <c r="E658" s="19"/>
    </row>
    <row r="659" spans="5:5" ht="12.75" x14ac:dyDescent="0.2">
      <c r="E659" s="19"/>
    </row>
    <row r="660" spans="5:5" ht="12.75" x14ac:dyDescent="0.2">
      <c r="E660" s="19"/>
    </row>
    <row r="661" spans="5:5" ht="12.75" x14ac:dyDescent="0.2">
      <c r="E661" s="19"/>
    </row>
    <row r="662" spans="5:5" ht="12.75" x14ac:dyDescent="0.2">
      <c r="E662" s="19"/>
    </row>
    <row r="663" spans="5:5" ht="12.75" x14ac:dyDescent="0.2">
      <c r="E663" s="19"/>
    </row>
    <row r="664" spans="5:5" ht="12.75" x14ac:dyDescent="0.2">
      <c r="E664" s="19"/>
    </row>
    <row r="665" spans="5:5" ht="12.75" x14ac:dyDescent="0.2">
      <c r="E665" s="19"/>
    </row>
    <row r="666" spans="5:5" ht="12.75" x14ac:dyDescent="0.2">
      <c r="E666" s="19"/>
    </row>
    <row r="667" spans="5:5" ht="12.75" x14ac:dyDescent="0.2">
      <c r="E667" s="19"/>
    </row>
    <row r="668" spans="5:5" ht="12.75" x14ac:dyDescent="0.2">
      <c r="E668" s="19"/>
    </row>
    <row r="669" spans="5:5" ht="12.75" x14ac:dyDescent="0.2">
      <c r="E669" s="19"/>
    </row>
    <row r="670" spans="5:5" ht="12.75" x14ac:dyDescent="0.2">
      <c r="E670" s="19"/>
    </row>
    <row r="671" spans="5:5" ht="12.75" x14ac:dyDescent="0.2">
      <c r="E671" s="19"/>
    </row>
    <row r="672" spans="5:5" ht="12.75" x14ac:dyDescent="0.2">
      <c r="E672" s="19"/>
    </row>
    <row r="673" spans="5:5" ht="12.75" x14ac:dyDescent="0.2">
      <c r="E673" s="19"/>
    </row>
    <row r="674" spans="5:5" ht="12.75" x14ac:dyDescent="0.2">
      <c r="E674" s="19"/>
    </row>
    <row r="675" spans="5:5" ht="12.75" x14ac:dyDescent="0.2">
      <c r="E675" s="19"/>
    </row>
    <row r="676" spans="5:5" ht="12.75" x14ac:dyDescent="0.2">
      <c r="E676" s="19"/>
    </row>
    <row r="677" spans="5:5" ht="12.75" x14ac:dyDescent="0.2">
      <c r="E677" s="19"/>
    </row>
    <row r="678" spans="5:5" ht="12.75" x14ac:dyDescent="0.2">
      <c r="E678" s="19"/>
    </row>
    <row r="679" spans="5:5" ht="12.75" x14ac:dyDescent="0.2">
      <c r="E679" s="19"/>
    </row>
    <row r="680" spans="5:5" ht="12.75" x14ac:dyDescent="0.2">
      <c r="E680" s="19"/>
    </row>
    <row r="681" spans="5:5" ht="12.75" x14ac:dyDescent="0.2">
      <c r="E681" s="19"/>
    </row>
    <row r="682" spans="5:5" ht="12.75" x14ac:dyDescent="0.2">
      <c r="E682" s="19"/>
    </row>
    <row r="683" spans="5:5" ht="12.75" x14ac:dyDescent="0.2">
      <c r="E683" s="19"/>
    </row>
    <row r="684" spans="5:5" ht="12.75" x14ac:dyDescent="0.2">
      <c r="E684" s="19"/>
    </row>
    <row r="685" spans="5:5" ht="12.75" x14ac:dyDescent="0.2">
      <c r="E685" s="19"/>
    </row>
    <row r="686" spans="5:5" ht="12.75" x14ac:dyDescent="0.2">
      <c r="E686" s="19"/>
    </row>
    <row r="687" spans="5:5" ht="12.75" x14ac:dyDescent="0.2">
      <c r="E687" s="19"/>
    </row>
    <row r="688" spans="5:5" ht="12.75" x14ac:dyDescent="0.2">
      <c r="E688" s="19"/>
    </row>
    <row r="689" spans="5:5" ht="12.75" x14ac:dyDescent="0.2">
      <c r="E689" s="19"/>
    </row>
    <row r="690" spans="5:5" ht="12.75" x14ac:dyDescent="0.2">
      <c r="E690" s="19"/>
    </row>
    <row r="691" spans="5:5" ht="12.75" x14ac:dyDescent="0.2">
      <c r="E691" s="19"/>
    </row>
    <row r="692" spans="5:5" ht="12.75" x14ac:dyDescent="0.2">
      <c r="E692" s="19"/>
    </row>
    <row r="693" spans="5:5" ht="12.75" x14ac:dyDescent="0.2">
      <c r="E693" s="19"/>
    </row>
    <row r="694" spans="5:5" ht="12.75" x14ac:dyDescent="0.2">
      <c r="E694" s="19"/>
    </row>
    <row r="695" spans="5:5" ht="12.75" x14ac:dyDescent="0.2">
      <c r="E695" s="19"/>
    </row>
    <row r="696" spans="5:5" ht="12.75" x14ac:dyDescent="0.2">
      <c r="E696" s="19"/>
    </row>
    <row r="697" spans="5:5" ht="12.75" x14ac:dyDescent="0.2">
      <c r="E697" s="19"/>
    </row>
    <row r="698" spans="5:5" ht="12.75" x14ac:dyDescent="0.2">
      <c r="E698" s="19"/>
    </row>
    <row r="699" spans="5:5" ht="12.75" x14ac:dyDescent="0.2">
      <c r="E699" s="19"/>
    </row>
    <row r="700" spans="5:5" ht="12.75" x14ac:dyDescent="0.2">
      <c r="E700" s="19"/>
    </row>
    <row r="701" spans="5:5" ht="12.75" x14ac:dyDescent="0.2">
      <c r="E701" s="19"/>
    </row>
    <row r="702" spans="5:5" ht="12.75" x14ac:dyDescent="0.2">
      <c r="E702" s="19"/>
    </row>
    <row r="703" spans="5:5" ht="12.75" x14ac:dyDescent="0.2">
      <c r="E703" s="19"/>
    </row>
    <row r="704" spans="5:5" ht="12.75" x14ac:dyDescent="0.2">
      <c r="E704" s="19"/>
    </row>
    <row r="705" spans="5:5" ht="12.75" x14ac:dyDescent="0.2">
      <c r="E705" s="19"/>
    </row>
    <row r="706" spans="5:5" ht="12.75" x14ac:dyDescent="0.2">
      <c r="E706" s="19"/>
    </row>
    <row r="707" spans="5:5" ht="12.75" x14ac:dyDescent="0.2">
      <c r="E707" s="19"/>
    </row>
    <row r="708" spans="5:5" ht="12.75" x14ac:dyDescent="0.2">
      <c r="E708" s="19"/>
    </row>
    <row r="709" spans="5:5" ht="12.75" x14ac:dyDescent="0.2">
      <c r="E709" s="19"/>
    </row>
    <row r="710" spans="5:5" ht="12.75" x14ac:dyDescent="0.2">
      <c r="E710" s="19"/>
    </row>
    <row r="711" spans="5:5" ht="12.75" x14ac:dyDescent="0.2">
      <c r="E711" s="19"/>
    </row>
    <row r="712" spans="5:5" ht="12.75" x14ac:dyDescent="0.2">
      <c r="E712" s="19"/>
    </row>
    <row r="713" spans="5:5" ht="12.75" x14ac:dyDescent="0.2">
      <c r="E713" s="19"/>
    </row>
    <row r="714" spans="5:5" ht="12.75" x14ac:dyDescent="0.2">
      <c r="E714" s="19"/>
    </row>
    <row r="715" spans="5:5" ht="12.75" x14ac:dyDescent="0.2">
      <c r="E715" s="19"/>
    </row>
    <row r="716" spans="5:5" ht="12.75" x14ac:dyDescent="0.2">
      <c r="E716" s="19"/>
    </row>
    <row r="717" spans="5:5" ht="12.75" x14ac:dyDescent="0.2">
      <c r="E717" s="19"/>
    </row>
    <row r="718" spans="5:5" ht="12.75" x14ac:dyDescent="0.2">
      <c r="E718" s="19"/>
    </row>
    <row r="719" spans="5:5" ht="12.75" x14ac:dyDescent="0.2">
      <c r="E719" s="19"/>
    </row>
    <row r="720" spans="5:5" ht="12.75" x14ac:dyDescent="0.2">
      <c r="E720" s="19"/>
    </row>
    <row r="721" spans="5:5" ht="12.75" x14ac:dyDescent="0.2">
      <c r="E721" s="19"/>
    </row>
    <row r="722" spans="5:5" ht="12.75" x14ac:dyDescent="0.2">
      <c r="E722" s="19"/>
    </row>
    <row r="723" spans="5:5" ht="12.75" x14ac:dyDescent="0.2">
      <c r="E723" s="19"/>
    </row>
    <row r="724" spans="5:5" ht="12.75" x14ac:dyDescent="0.2">
      <c r="E724" s="19"/>
    </row>
    <row r="725" spans="5:5" ht="12.75" x14ac:dyDescent="0.2">
      <c r="E725" s="19"/>
    </row>
    <row r="726" spans="5:5" ht="12.75" x14ac:dyDescent="0.2">
      <c r="E726" s="19"/>
    </row>
    <row r="727" spans="5:5" ht="12.75" x14ac:dyDescent="0.2">
      <c r="E727" s="19"/>
    </row>
    <row r="728" spans="5:5" ht="12.75" x14ac:dyDescent="0.2">
      <c r="E728" s="19"/>
    </row>
    <row r="729" spans="5:5" ht="12.75" x14ac:dyDescent="0.2">
      <c r="E729" s="19"/>
    </row>
    <row r="730" spans="5:5" ht="12.75" x14ac:dyDescent="0.2">
      <c r="E730" s="19"/>
    </row>
    <row r="731" spans="5:5" ht="12.75" x14ac:dyDescent="0.2">
      <c r="E731" s="19"/>
    </row>
    <row r="732" spans="5:5" ht="12.75" x14ac:dyDescent="0.2">
      <c r="E732" s="19"/>
    </row>
    <row r="733" spans="5:5" ht="12.75" x14ac:dyDescent="0.2">
      <c r="E733" s="19"/>
    </row>
    <row r="734" spans="5:5" ht="12.75" x14ac:dyDescent="0.2">
      <c r="E734" s="19"/>
    </row>
    <row r="735" spans="5:5" ht="12.75" x14ac:dyDescent="0.2">
      <c r="E735" s="19"/>
    </row>
    <row r="736" spans="5:5" ht="12.75" x14ac:dyDescent="0.2">
      <c r="E736" s="19"/>
    </row>
    <row r="737" spans="5:5" ht="12.75" x14ac:dyDescent="0.2">
      <c r="E737" s="19"/>
    </row>
    <row r="738" spans="5:5" ht="12.75" x14ac:dyDescent="0.2">
      <c r="E738" s="19"/>
    </row>
    <row r="739" spans="5:5" ht="12.75" x14ac:dyDescent="0.2">
      <c r="E739" s="19"/>
    </row>
    <row r="740" spans="5:5" ht="12.75" x14ac:dyDescent="0.2">
      <c r="E740" s="19"/>
    </row>
    <row r="741" spans="5:5" ht="12.75" x14ac:dyDescent="0.2">
      <c r="E741" s="19"/>
    </row>
    <row r="742" spans="5:5" ht="12.75" x14ac:dyDescent="0.2">
      <c r="E742" s="19"/>
    </row>
    <row r="743" spans="5:5" ht="12.75" x14ac:dyDescent="0.2">
      <c r="E743" s="19"/>
    </row>
    <row r="744" spans="5:5" ht="12.75" x14ac:dyDescent="0.2">
      <c r="E744" s="19"/>
    </row>
    <row r="745" spans="5:5" ht="12.75" x14ac:dyDescent="0.2">
      <c r="E745" s="19"/>
    </row>
    <row r="746" spans="5:5" ht="12.75" x14ac:dyDescent="0.2">
      <c r="E746" s="19"/>
    </row>
    <row r="747" spans="5:5" ht="12.75" x14ac:dyDescent="0.2">
      <c r="E747" s="19"/>
    </row>
    <row r="748" spans="5:5" ht="12.75" x14ac:dyDescent="0.2">
      <c r="E748" s="19"/>
    </row>
    <row r="749" spans="5:5" ht="12.75" x14ac:dyDescent="0.2">
      <c r="E749" s="19"/>
    </row>
    <row r="750" spans="5:5" ht="12.75" x14ac:dyDescent="0.2">
      <c r="E750" s="19"/>
    </row>
    <row r="751" spans="5:5" ht="12.75" x14ac:dyDescent="0.2">
      <c r="E751" s="19"/>
    </row>
    <row r="752" spans="5:5" ht="12.75" x14ac:dyDescent="0.2">
      <c r="E752" s="19"/>
    </row>
    <row r="753" spans="5:5" ht="12.75" x14ac:dyDescent="0.2">
      <c r="E753" s="19"/>
    </row>
    <row r="754" spans="5:5" ht="12.75" x14ac:dyDescent="0.2">
      <c r="E754" s="19"/>
    </row>
    <row r="755" spans="5:5" ht="12.75" x14ac:dyDescent="0.2">
      <c r="E755" s="19"/>
    </row>
    <row r="756" spans="5:5" ht="12.75" x14ac:dyDescent="0.2">
      <c r="E756" s="19"/>
    </row>
    <row r="757" spans="5:5" ht="12.75" x14ac:dyDescent="0.2">
      <c r="E757" s="19"/>
    </row>
    <row r="758" spans="5:5" ht="12.75" x14ac:dyDescent="0.2">
      <c r="E758" s="19"/>
    </row>
    <row r="759" spans="5:5" ht="12.75" x14ac:dyDescent="0.2">
      <c r="E759" s="19"/>
    </row>
    <row r="760" spans="5:5" ht="12.75" x14ac:dyDescent="0.2">
      <c r="E760" s="19"/>
    </row>
    <row r="761" spans="5:5" ht="12.75" x14ac:dyDescent="0.2">
      <c r="E761" s="19"/>
    </row>
    <row r="762" spans="5:5" ht="12.75" x14ac:dyDescent="0.2">
      <c r="E762" s="19"/>
    </row>
    <row r="763" spans="5:5" ht="12.75" x14ac:dyDescent="0.2">
      <c r="E763" s="19"/>
    </row>
    <row r="764" spans="5:5" ht="12.75" x14ac:dyDescent="0.2">
      <c r="E764" s="19"/>
    </row>
    <row r="765" spans="5:5" ht="12.75" x14ac:dyDescent="0.2">
      <c r="E765" s="19"/>
    </row>
    <row r="766" spans="5:5" ht="12.75" x14ac:dyDescent="0.2">
      <c r="E766" s="19"/>
    </row>
    <row r="767" spans="5:5" ht="12.75" x14ac:dyDescent="0.2">
      <c r="E767" s="19"/>
    </row>
    <row r="768" spans="5:5" ht="12.75" x14ac:dyDescent="0.2">
      <c r="E768" s="19"/>
    </row>
    <row r="769" spans="5:5" ht="12.75" x14ac:dyDescent="0.2">
      <c r="E769" s="19"/>
    </row>
    <row r="770" spans="5:5" ht="12.75" x14ac:dyDescent="0.2">
      <c r="E770" s="19"/>
    </row>
    <row r="771" spans="5:5" ht="12.75" x14ac:dyDescent="0.2">
      <c r="E771" s="19"/>
    </row>
    <row r="772" spans="5:5" ht="12.75" x14ac:dyDescent="0.2">
      <c r="E772" s="19"/>
    </row>
    <row r="773" spans="5:5" ht="12.75" x14ac:dyDescent="0.2">
      <c r="E773" s="19"/>
    </row>
    <row r="774" spans="5:5" ht="12.75" x14ac:dyDescent="0.2">
      <c r="E774" s="19"/>
    </row>
    <row r="775" spans="5:5" ht="12.75" x14ac:dyDescent="0.2">
      <c r="E775" s="19"/>
    </row>
    <row r="776" spans="5:5" ht="12.75" x14ac:dyDescent="0.2">
      <c r="E776" s="19"/>
    </row>
    <row r="777" spans="5:5" ht="12.75" x14ac:dyDescent="0.2">
      <c r="E777" s="19"/>
    </row>
    <row r="778" spans="5:5" ht="12.75" x14ac:dyDescent="0.2">
      <c r="E778" s="19"/>
    </row>
    <row r="779" spans="5:5" ht="12.75" x14ac:dyDescent="0.2">
      <c r="E779" s="19"/>
    </row>
    <row r="780" spans="5:5" ht="12.75" x14ac:dyDescent="0.2">
      <c r="E780" s="19"/>
    </row>
    <row r="781" spans="5:5" ht="12.75" x14ac:dyDescent="0.2">
      <c r="E781" s="19"/>
    </row>
    <row r="782" spans="5:5" ht="12.75" x14ac:dyDescent="0.2">
      <c r="E782" s="19"/>
    </row>
    <row r="783" spans="5:5" ht="12.75" x14ac:dyDescent="0.2">
      <c r="E783" s="19"/>
    </row>
    <row r="784" spans="5:5" ht="12.75" x14ac:dyDescent="0.2">
      <c r="E784" s="19"/>
    </row>
    <row r="785" spans="5:5" ht="12.75" x14ac:dyDescent="0.2">
      <c r="E785" s="19"/>
    </row>
    <row r="786" spans="5:5" ht="12.75" x14ac:dyDescent="0.2">
      <c r="E786" s="19"/>
    </row>
    <row r="787" spans="5:5" ht="12.75" x14ac:dyDescent="0.2">
      <c r="E787" s="19"/>
    </row>
    <row r="788" spans="5:5" ht="12.75" x14ac:dyDescent="0.2">
      <c r="E788" s="19"/>
    </row>
    <row r="789" spans="5:5" ht="12.75" x14ac:dyDescent="0.2">
      <c r="E789" s="19"/>
    </row>
    <row r="790" spans="5:5" ht="12.75" x14ac:dyDescent="0.2">
      <c r="E790" s="19"/>
    </row>
    <row r="791" spans="5:5" ht="12.75" x14ac:dyDescent="0.2">
      <c r="E791" s="19"/>
    </row>
    <row r="792" spans="5:5" ht="12.75" x14ac:dyDescent="0.2">
      <c r="E792" s="19"/>
    </row>
    <row r="793" spans="5:5" ht="12.75" x14ac:dyDescent="0.2">
      <c r="E793" s="19"/>
    </row>
    <row r="794" spans="5:5" ht="12.75" x14ac:dyDescent="0.2">
      <c r="E794" s="19"/>
    </row>
    <row r="795" spans="5:5" ht="12.75" x14ac:dyDescent="0.2">
      <c r="E795" s="19"/>
    </row>
    <row r="796" spans="5:5" ht="12.75" x14ac:dyDescent="0.2">
      <c r="E796" s="19"/>
    </row>
    <row r="797" spans="5:5" ht="12.75" x14ac:dyDescent="0.2">
      <c r="E797" s="19"/>
    </row>
    <row r="798" spans="5:5" ht="12.75" x14ac:dyDescent="0.2">
      <c r="E798" s="19"/>
    </row>
    <row r="799" spans="5:5" ht="12.75" x14ac:dyDescent="0.2">
      <c r="E799" s="19"/>
    </row>
    <row r="800" spans="5:5" ht="12.75" x14ac:dyDescent="0.2">
      <c r="E800" s="19"/>
    </row>
    <row r="801" spans="5:5" ht="12.75" x14ac:dyDescent="0.2">
      <c r="E801" s="19"/>
    </row>
    <row r="802" spans="5:5" ht="12.75" x14ac:dyDescent="0.2">
      <c r="E802" s="19"/>
    </row>
    <row r="803" spans="5:5" ht="12.75" x14ac:dyDescent="0.2">
      <c r="E803" s="19"/>
    </row>
    <row r="804" spans="5:5" ht="12.75" x14ac:dyDescent="0.2">
      <c r="E804" s="19"/>
    </row>
    <row r="805" spans="5:5" ht="12.75" x14ac:dyDescent="0.2">
      <c r="E805" s="19"/>
    </row>
    <row r="806" spans="5:5" ht="12.75" x14ac:dyDescent="0.2">
      <c r="E806" s="19"/>
    </row>
    <row r="807" spans="5:5" ht="12.75" x14ac:dyDescent="0.2">
      <c r="E807" s="19"/>
    </row>
    <row r="808" spans="5:5" ht="12.75" x14ac:dyDescent="0.2">
      <c r="E808" s="19"/>
    </row>
    <row r="809" spans="5:5" ht="12.75" x14ac:dyDescent="0.2">
      <c r="E809" s="19"/>
    </row>
    <row r="810" spans="5:5" ht="12.75" x14ac:dyDescent="0.2">
      <c r="E810" s="19"/>
    </row>
    <row r="811" spans="5:5" ht="12.75" x14ac:dyDescent="0.2">
      <c r="E811" s="19"/>
    </row>
    <row r="812" spans="5:5" ht="12.75" x14ac:dyDescent="0.2">
      <c r="E812" s="19"/>
    </row>
    <row r="813" spans="5:5" ht="12.75" x14ac:dyDescent="0.2">
      <c r="E813" s="19"/>
    </row>
    <row r="814" spans="5:5" ht="12.75" x14ac:dyDescent="0.2">
      <c r="E814" s="19"/>
    </row>
    <row r="815" spans="5:5" ht="12.75" x14ac:dyDescent="0.2">
      <c r="E815" s="19"/>
    </row>
    <row r="816" spans="5:5" ht="12.75" x14ac:dyDescent="0.2">
      <c r="E816" s="19"/>
    </row>
    <row r="817" spans="5:5" ht="12.75" x14ac:dyDescent="0.2">
      <c r="E817" s="19"/>
    </row>
    <row r="818" spans="5:5" ht="12.75" x14ac:dyDescent="0.2">
      <c r="E818" s="19"/>
    </row>
    <row r="819" spans="5:5" ht="12.75" x14ac:dyDescent="0.2">
      <c r="E819" s="19"/>
    </row>
    <row r="820" spans="5:5" ht="12.75" x14ac:dyDescent="0.2">
      <c r="E820" s="19"/>
    </row>
    <row r="821" spans="5:5" ht="12.75" x14ac:dyDescent="0.2">
      <c r="E821" s="19"/>
    </row>
    <row r="822" spans="5:5" ht="12.75" x14ac:dyDescent="0.2">
      <c r="E822" s="19"/>
    </row>
    <row r="823" spans="5:5" ht="12.75" x14ac:dyDescent="0.2">
      <c r="E823" s="19"/>
    </row>
    <row r="824" spans="5:5" ht="12.75" x14ac:dyDescent="0.2">
      <c r="E824" s="19"/>
    </row>
    <row r="825" spans="5:5" ht="12.75" x14ac:dyDescent="0.2">
      <c r="E825" s="19"/>
    </row>
    <row r="826" spans="5:5" ht="12.75" x14ac:dyDescent="0.2">
      <c r="E826" s="19"/>
    </row>
    <row r="827" spans="5:5" ht="12.75" x14ac:dyDescent="0.2">
      <c r="E827" s="19"/>
    </row>
    <row r="828" spans="5:5" ht="12.75" x14ac:dyDescent="0.2">
      <c r="E828" s="19"/>
    </row>
    <row r="829" spans="5:5" ht="12.75" x14ac:dyDescent="0.2">
      <c r="E829" s="19"/>
    </row>
    <row r="830" spans="5:5" ht="12.75" x14ac:dyDescent="0.2">
      <c r="E830" s="19"/>
    </row>
    <row r="831" spans="5:5" ht="12.75" x14ac:dyDescent="0.2">
      <c r="E831" s="19"/>
    </row>
    <row r="832" spans="5:5" ht="12.75" x14ac:dyDescent="0.2">
      <c r="E832" s="19"/>
    </row>
    <row r="833" spans="5:5" ht="12.75" x14ac:dyDescent="0.2">
      <c r="E833" s="19"/>
    </row>
    <row r="834" spans="5:5" ht="12.75" x14ac:dyDescent="0.2">
      <c r="E834" s="19"/>
    </row>
    <row r="835" spans="5:5" ht="12.75" x14ac:dyDescent="0.2">
      <c r="E835" s="19"/>
    </row>
    <row r="836" spans="5:5" ht="12.75" x14ac:dyDescent="0.2">
      <c r="E836" s="19"/>
    </row>
    <row r="837" spans="5:5" ht="12.75" x14ac:dyDescent="0.2">
      <c r="E837" s="19"/>
    </row>
    <row r="838" spans="5:5" ht="12.75" x14ac:dyDescent="0.2">
      <c r="E838" s="19"/>
    </row>
    <row r="839" spans="5:5" ht="12.75" x14ac:dyDescent="0.2">
      <c r="E839" s="19"/>
    </row>
    <row r="840" spans="5:5" ht="12.75" x14ac:dyDescent="0.2">
      <c r="E840" s="19"/>
    </row>
    <row r="841" spans="5:5" ht="12.75" x14ac:dyDescent="0.2">
      <c r="E841" s="19"/>
    </row>
    <row r="842" spans="5:5" ht="12.75" x14ac:dyDescent="0.2">
      <c r="E842" s="19"/>
    </row>
    <row r="843" spans="5:5" ht="12.75" x14ac:dyDescent="0.2">
      <c r="E843" s="19"/>
    </row>
    <row r="844" spans="5:5" ht="12.75" x14ac:dyDescent="0.2">
      <c r="E844" s="19"/>
    </row>
    <row r="845" spans="5:5" ht="12.75" x14ac:dyDescent="0.2">
      <c r="E845" s="19"/>
    </row>
    <row r="846" spans="5:5" ht="12.75" x14ac:dyDescent="0.2">
      <c r="E846" s="19"/>
    </row>
    <row r="847" spans="5:5" ht="12.75" x14ac:dyDescent="0.2">
      <c r="E847" s="19"/>
    </row>
    <row r="848" spans="5:5" ht="12.75" x14ac:dyDescent="0.2">
      <c r="E848" s="19"/>
    </row>
    <row r="849" spans="5:5" ht="12.75" x14ac:dyDescent="0.2">
      <c r="E849" s="19"/>
    </row>
    <row r="850" spans="5:5" ht="12.75" x14ac:dyDescent="0.2">
      <c r="E850" s="19"/>
    </row>
    <row r="851" spans="5:5" ht="12.75" x14ac:dyDescent="0.2">
      <c r="E851" s="19"/>
    </row>
    <row r="852" spans="5:5" ht="12.75" x14ac:dyDescent="0.2">
      <c r="E852" s="19"/>
    </row>
    <row r="853" spans="5:5" ht="12.75" x14ac:dyDescent="0.2">
      <c r="E853" s="19"/>
    </row>
    <row r="854" spans="5:5" ht="12.75" x14ac:dyDescent="0.2">
      <c r="E854" s="19"/>
    </row>
    <row r="855" spans="5:5" ht="12.75" x14ac:dyDescent="0.2">
      <c r="E855" s="19"/>
    </row>
    <row r="856" spans="5:5" ht="12.75" x14ac:dyDescent="0.2">
      <c r="E856" s="19"/>
    </row>
    <row r="857" spans="5:5" ht="12.75" x14ac:dyDescent="0.2">
      <c r="E857" s="19"/>
    </row>
    <row r="858" spans="5:5" ht="12.75" x14ac:dyDescent="0.2">
      <c r="E858" s="19"/>
    </row>
    <row r="859" spans="5:5" ht="12.75" x14ac:dyDescent="0.2">
      <c r="E859" s="19"/>
    </row>
    <row r="860" spans="5:5" ht="12.75" x14ac:dyDescent="0.2">
      <c r="E860" s="19"/>
    </row>
    <row r="861" spans="5:5" ht="12.75" x14ac:dyDescent="0.2">
      <c r="E861" s="19"/>
    </row>
    <row r="862" spans="5:5" ht="12.75" x14ac:dyDescent="0.2">
      <c r="E862" s="19"/>
    </row>
    <row r="863" spans="5:5" ht="12.75" x14ac:dyDescent="0.2">
      <c r="E863" s="19"/>
    </row>
    <row r="864" spans="5:5" ht="12.75" x14ac:dyDescent="0.2">
      <c r="E864" s="19"/>
    </row>
    <row r="865" spans="5:5" ht="12.75" x14ac:dyDescent="0.2">
      <c r="E865" s="19"/>
    </row>
    <row r="866" spans="5:5" ht="12.75" x14ac:dyDescent="0.2">
      <c r="E866" s="19"/>
    </row>
    <row r="867" spans="5:5" ht="12.75" x14ac:dyDescent="0.2">
      <c r="E867" s="19"/>
    </row>
    <row r="868" spans="5:5" ht="12.75" x14ac:dyDescent="0.2">
      <c r="E868" s="19"/>
    </row>
    <row r="869" spans="5:5" ht="12.75" x14ac:dyDescent="0.2">
      <c r="E869" s="19"/>
    </row>
    <row r="870" spans="5:5" ht="12.75" x14ac:dyDescent="0.2">
      <c r="E870" s="19"/>
    </row>
    <row r="871" spans="5:5" ht="12.75" x14ac:dyDescent="0.2">
      <c r="E871" s="19"/>
    </row>
    <row r="872" spans="5:5" ht="12.75" x14ac:dyDescent="0.2">
      <c r="E872" s="19"/>
    </row>
    <row r="873" spans="5:5" ht="12.75" x14ac:dyDescent="0.2">
      <c r="E873" s="19"/>
    </row>
    <row r="874" spans="5:5" ht="12.75" x14ac:dyDescent="0.2">
      <c r="E874" s="19"/>
    </row>
    <row r="875" spans="5:5" ht="12.75" x14ac:dyDescent="0.2">
      <c r="E875" s="19"/>
    </row>
    <row r="876" spans="5:5" ht="12.75" x14ac:dyDescent="0.2">
      <c r="E876" s="19"/>
    </row>
    <row r="877" spans="5:5" ht="12.75" x14ac:dyDescent="0.2">
      <c r="E877" s="19"/>
    </row>
    <row r="878" spans="5:5" ht="12.75" x14ac:dyDescent="0.2">
      <c r="E878" s="19"/>
    </row>
    <row r="879" spans="5:5" ht="12.75" x14ac:dyDescent="0.2">
      <c r="E879" s="19"/>
    </row>
    <row r="880" spans="5:5" ht="12.75" x14ac:dyDescent="0.2">
      <c r="E880" s="19"/>
    </row>
    <row r="881" spans="5:5" ht="12.75" x14ac:dyDescent="0.2">
      <c r="E881" s="19"/>
    </row>
    <row r="882" spans="5:5" ht="12.75" x14ac:dyDescent="0.2">
      <c r="E882" s="19"/>
    </row>
    <row r="883" spans="5:5" ht="12.75" x14ac:dyDescent="0.2">
      <c r="E883" s="19"/>
    </row>
    <row r="884" spans="5:5" ht="12.75" x14ac:dyDescent="0.2">
      <c r="E884" s="19"/>
    </row>
    <row r="885" spans="5:5" ht="12.75" x14ac:dyDescent="0.2">
      <c r="E885" s="19"/>
    </row>
    <row r="886" spans="5:5" ht="12.75" x14ac:dyDescent="0.2">
      <c r="E886" s="19"/>
    </row>
    <row r="887" spans="5:5" ht="12.75" x14ac:dyDescent="0.2">
      <c r="E887" s="19"/>
    </row>
    <row r="888" spans="5:5" ht="12.75" x14ac:dyDescent="0.2">
      <c r="E888" s="19"/>
    </row>
    <row r="889" spans="5:5" ht="12.75" x14ac:dyDescent="0.2">
      <c r="E889" s="19"/>
    </row>
    <row r="890" spans="5:5" ht="12.75" x14ac:dyDescent="0.2">
      <c r="E890" s="19"/>
    </row>
    <row r="891" spans="5:5" ht="12.75" x14ac:dyDescent="0.2">
      <c r="E891" s="19"/>
    </row>
    <row r="892" spans="5:5" ht="12.75" x14ac:dyDescent="0.2">
      <c r="E892" s="19"/>
    </row>
    <row r="893" spans="5:5" ht="12.75" x14ac:dyDescent="0.2">
      <c r="E893" s="19"/>
    </row>
    <row r="894" spans="5:5" ht="12.75" x14ac:dyDescent="0.2">
      <c r="E894" s="19"/>
    </row>
    <row r="895" spans="5:5" ht="12.75" x14ac:dyDescent="0.2">
      <c r="E895" s="19"/>
    </row>
    <row r="896" spans="5:5" ht="12.75" x14ac:dyDescent="0.2">
      <c r="E896" s="19"/>
    </row>
    <row r="897" spans="5:5" ht="12.75" x14ac:dyDescent="0.2">
      <c r="E897" s="19"/>
    </row>
    <row r="898" spans="5:5" ht="12.75" x14ac:dyDescent="0.2">
      <c r="E898" s="19"/>
    </row>
    <row r="899" spans="5:5" ht="12.75" x14ac:dyDescent="0.2">
      <c r="E899" s="19"/>
    </row>
    <row r="900" spans="5:5" ht="12.75" x14ac:dyDescent="0.2">
      <c r="E900" s="19"/>
    </row>
    <row r="901" spans="5:5" ht="12.75" x14ac:dyDescent="0.2">
      <c r="E901" s="19"/>
    </row>
    <row r="902" spans="5:5" ht="12.75" x14ac:dyDescent="0.2">
      <c r="E902" s="19"/>
    </row>
    <row r="903" spans="5:5" ht="12.75" x14ac:dyDescent="0.2">
      <c r="E903" s="19"/>
    </row>
    <row r="904" spans="5:5" ht="12.75" x14ac:dyDescent="0.2">
      <c r="E904" s="19"/>
    </row>
    <row r="905" spans="5:5" ht="12.75" x14ac:dyDescent="0.2">
      <c r="E905" s="19"/>
    </row>
    <row r="906" spans="5:5" ht="12.75" x14ac:dyDescent="0.2">
      <c r="E906" s="19"/>
    </row>
    <row r="907" spans="5:5" ht="12.75" x14ac:dyDescent="0.2">
      <c r="E907" s="19"/>
    </row>
    <row r="908" spans="5:5" ht="12.75" x14ac:dyDescent="0.2">
      <c r="E908" s="19"/>
    </row>
    <row r="909" spans="5:5" ht="12.75" x14ac:dyDescent="0.2">
      <c r="E909" s="19"/>
    </row>
    <row r="910" spans="5:5" ht="12.75" x14ac:dyDescent="0.2">
      <c r="E910" s="19"/>
    </row>
    <row r="911" spans="5:5" ht="12.75" x14ac:dyDescent="0.2">
      <c r="E911" s="19"/>
    </row>
    <row r="912" spans="5:5" ht="12.75" x14ac:dyDescent="0.2">
      <c r="E912" s="19"/>
    </row>
    <row r="913" spans="5:5" ht="12.75" x14ac:dyDescent="0.2">
      <c r="E913" s="19"/>
    </row>
    <row r="914" spans="5:5" ht="12.75" x14ac:dyDescent="0.2">
      <c r="E914" s="19"/>
    </row>
    <row r="915" spans="5:5" ht="12.75" x14ac:dyDescent="0.2">
      <c r="E915" s="19"/>
    </row>
    <row r="916" spans="5:5" ht="12.75" x14ac:dyDescent="0.2">
      <c r="E916" s="19"/>
    </row>
    <row r="917" spans="5:5" ht="12.75" x14ac:dyDescent="0.2">
      <c r="E917" s="19"/>
    </row>
    <row r="918" spans="5:5" ht="12.75" x14ac:dyDescent="0.2">
      <c r="E918" s="19"/>
    </row>
    <row r="919" spans="5:5" ht="12.75" x14ac:dyDescent="0.2">
      <c r="E919" s="19"/>
    </row>
    <row r="920" spans="5:5" ht="12.75" x14ac:dyDescent="0.2">
      <c r="E920" s="19"/>
    </row>
    <row r="921" spans="5:5" ht="12.75" x14ac:dyDescent="0.2">
      <c r="E921" s="19"/>
    </row>
    <row r="922" spans="5:5" ht="12.75" x14ac:dyDescent="0.2">
      <c r="E922" s="19"/>
    </row>
    <row r="923" spans="5:5" ht="12.75" x14ac:dyDescent="0.2">
      <c r="E923" s="19"/>
    </row>
    <row r="924" spans="5:5" ht="12.75" x14ac:dyDescent="0.2">
      <c r="E924" s="19"/>
    </row>
    <row r="925" spans="5:5" ht="12.75" x14ac:dyDescent="0.2">
      <c r="E925" s="19"/>
    </row>
    <row r="926" spans="5:5" ht="12.75" x14ac:dyDescent="0.2">
      <c r="E926" s="19"/>
    </row>
    <row r="927" spans="5:5" ht="12.75" x14ac:dyDescent="0.2">
      <c r="E927" s="19"/>
    </row>
    <row r="928" spans="5:5" ht="12.75" x14ac:dyDescent="0.2">
      <c r="E928" s="19"/>
    </row>
    <row r="929" spans="5:5" ht="12.75" x14ac:dyDescent="0.2">
      <c r="E929" s="19"/>
    </row>
    <row r="930" spans="5:5" ht="12.75" x14ac:dyDescent="0.2">
      <c r="E930" s="19"/>
    </row>
    <row r="931" spans="5:5" ht="12.75" x14ac:dyDescent="0.2">
      <c r="E931" s="19"/>
    </row>
    <row r="932" spans="5:5" ht="12.75" x14ac:dyDescent="0.2">
      <c r="E932" s="19"/>
    </row>
    <row r="933" spans="5:5" ht="12.75" x14ac:dyDescent="0.2">
      <c r="E933" s="19"/>
    </row>
    <row r="934" spans="5:5" ht="12.75" x14ac:dyDescent="0.2">
      <c r="E934" s="19"/>
    </row>
    <row r="935" spans="5:5" ht="12.75" x14ac:dyDescent="0.2">
      <c r="E935" s="19"/>
    </row>
    <row r="936" spans="5:5" ht="12.75" x14ac:dyDescent="0.2">
      <c r="E936" s="19"/>
    </row>
    <row r="937" spans="5:5" ht="12.75" x14ac:dyDescent="0.2">
      <c r="E937" s="19"/>
    </row>
    <row r="938" spans="5:5" ht="12.75" x14ac:dyDescent="0.2">
      <c r="E938" s="19"/>
    </row>
    <row r="939" spans="5:5" ht="12.75" x14ac:dyDescent="0.2">
      <c r="E939" s="19"/>
    </row>
    <row r="940" spans="5:5" ht="12.75" x14ac:dyDescent="0.2">
      <c r="E940" s="19"/>
    </row>
    <row r="941" spans="5:5" ht="12.75" x14ac:dyDescent="0.2">
      <c r="E941" s="19"/>
    </row>
    <row r="942" spans="5:5" ht="12.75" x14ac:dyDescent="0.2">
      <c r="E942" s="19"/>
    </row>
    <row r="943" spans="5:5" ht="12.75" x14ac:dyDescent="0.2">
      <c r="E943" s="19"/>
    </row>
    <row r="944" spans="5:5" ht="12.75" x14ac:dyDescent="0.2">
      <c r="E944" s="19"/>
    </row>
    <row r="945" spans="5:5" ht="12.75" x14ac:dyDescent="0.2">
      <c r="E945" s="19"/>
    </row>
    <row r="946" spans="5:5" ht="12.75" x14ac:dyDescent="0.2">
      <c r="E946" s="19"/>
    </row>
    <row r="947" spans="5:5" ht="12.75" x14ac:dyDescent="0.2">
      <c r="E947" s="19"/>
    </row>
    <row r="948" spans="5:5" ht="12.75" x14ac:dyDescent="0.2">
      <c r="E948" s="19"/>
    </row>
    <row r="949" spans="5:5" ht="12.75" x14ac:dyDescent="0.2">
      <c r="E949" s="19"/>
    </row>
    <row r="950" spans="5:5" ht="12.75" x14ac:dyDescent="0.2">
      <c r="E950" s="19"/>
    </row>
    <row r="951" spans="5:5" ht="12.75" x14ac:dyDescent="0.2">
      <c r="E951" s="19"/>
    </row>
    <row r="952" spans="5:5" ht="12.75" x14ac:dyDescent="0.2">
      <c r="E952" s="19"/>
    </row>
    <row r="953" spans="5:5" ht="12.75" x14ac:dyDescent="0.2">
      <c r="E953" s="19"/>
    </row>
    <row r="954" spans="5:5" ht="12.75" x14ac:dyDescent="0.2">
      <c r="E954" s="19"/>
    </row>
    <row r="955" spans="5:5" ht="12.75" x14ac:dyDescent="0.2">
      <c r="E955" s="19"/>
    </row>
    <row r="956" spans="5:5" ht="12.75" x14ac:dyDescent="0.2">
      <c r="E956" s="19"/>
    </row>
    <row r="957" spans="5:5" ht="12.75" x14ac:dyDescent="0.2">
      <c r="E957" s="19"/>
    </row>
    <row r="958" spans="5:5" ht="12.75" x14ac:dyDescent="0.2">
      <c r="E958" s="19"/>
    </row>
    <row r="959" spans="5:5" ht="12.75" x14ac:dyDescent="0.2">
      <c r="E959" s="19"/>
    </row>
    <row r="960" spans="5:5" ht="12.75" x14ac:dyDescent="0.2">
      <c r="E960" s="19"/>
    </row>
    <row r="961" spans="5:5" ht="12.75" x14ac:dyDescent="0.2">
      <c r="E961" s="19"/>
    </row>
    <row r="962" spans="5:5" ht="12.75" x14ac:dyDescent="0.2">
      <c r="E962" s="19"/>
    </row>
    <row r="963" spans="5:5" ht="12.75" x14ac:dyDescent="0.2">
      <c r="E963" s="19"/>
    </row>
    <row r="964" spans="5:5" ht="12.75" x14ac:dyDescent="0.2">
      <c r="E964" s="19"/>
    </row>
    <row r="965" spans="5:5" ht="12.75" x14ac:dyDescent="0.2">
      <c r="E965" s="19"/>
    </row>
    <row r="966" spans="5:5" ht="12.75" x14ac:dyDescent="0.2">
      <c r="E966" s="19"/>
    </row>
    <row r="967" spans="5:5" ht="12.75" x14ac:dyDescent="0.2">
      <c r="E967" s="19"/>
    </row>
    <row r="968" spans="5:5" ht="12.75" x14ac:dyDescent="0.2">
      <c r="E968" s="19"/>
    </row>
    <row r="969" spans="5:5" ht="12.75" x14ac:dyDescent="0.2">
      <c r="E969" s="19"/>
    </row>
    <row r="970" spans="5:5" ht="12.75" x14ac:dyDescent="0.2">
      <c r="E970" s="19"/>
    </row>
    <row r="971" spans="5:5" ht="12.75" x14ac:dyDescent="0.2">
      <c r="E971" s="19"/>
    </row>
    <row r="972" spans="5:5" ht="12.75" x14ac:dyDescent="0.2">
      <c r="E972" s="19"/>
    </row>
    <row r="973" spans="5:5" ht="12.75" x14ac:dyDescent="0.2">
      <c r="E973" s="19"/>
    </row>
    <row r="974" spans="5:5" ht="12.75" x14ac:dyDescent="0.2">
      <c r="E974" s="19"/>
    </row>
    <row r="975" spans="5:5" ht="12.75" x14ac:dyDescent="0.2">
      <c r="E975" s="19"/>
    </row>
    <row r="976" spans="5:5" ht="12.75" x14ac:dyDescent="0.2">
      <c r="E976" s="19"/>
    </row>
    <row r="977" spans="5:5" ht="12.75" x14ac:dyDescent="0.2">
      <c r="E977" s="19"/>
    </row>
    <row r="978" spans="5:5" ht="12.75" x14ac:dyDescent="0.2">
      <c r="E978" s="19"/>
    </row>
    <row r="979" spans="5:5" ht="12.75" x14ac:dyDescent="0.2">
      <c r="E979" s="19"/>
    </row>
    <row r="980" spans="5:5" ht="12.75" x14ac:dyDescent="0.2">
      <c r="E980" s="19"/>
    </row>
    <row r="981" spans="5:5" ht="12.75" x14ac:dyDescent="0.2">
      <c r="E981" s="19"/>
    </row>
    <row r="982" spans="5:5" ht="12.75" x14ac:dyDescent="0.2">
      <c r="E982" s="19"/>
    </row>
    <row r="983" spans="5:5" ht="12.75" x14ac:dyDescent="0.2">
      <c r="E983" s="19"/>
    </row>
    <row r="984" spans="5:5" ht="12.75" x14ac:dyDescent="0.2">
      <c r="E984" s="19"/>
    </row>
    <row r="985" spans="5:5" ht="12.75" x14ac:dyDescent="0.2">
      <c r="E985" s="19"/>
    </row>
    <row r="986" spans="5:5" ht="12.75" x14ac:dyDescent="0.2">
      <c r="E986" s="19"/>
    </row>
    <row r="987" spans="5:5" ht="12.75" x14ac:dyDescent="0.2">
      <c r="E987" s="19"/>
    </row>
    <row r="988" spans="5:5" ht="12.75" x14ac:dyDescent="0.2">
      <c r="E988" s="19"/>
    </row>
    <row r="989" spans="5:5" ht="12.75" x14ac:dyDescent="0.2">
      <c r="E989" s="19"/>
    </row>
    <row r="990" spans="5:5" ht="12.75" x14ac:dyDescent="0.2">
      <c r="E990" s="19"/>
    </row>
    <row r="991" spans="5:5" ht="12.75" x14ac:dyDescent="0.2">
      <c r="E991" s="19"/>
    </row>
    <row r="992" spans="5:5" ht="12.75" x14ac:dyDescent="0.2">
      <c r="E992" s="19"/>
    </row>
    <row r="993" spans="5:5" ht="12.75" x14ac:dyDescent="0.2">
      <c r="E993" s="19"/>
    </row>
    <row r="994" spans="5:5" ht="12.75" x14ac:dyDescent="0.2">
      <c r="E994" s="19"/>
    </row>
    <row r="995" spans="5:5" ht="12.75" x14ac:dyDescent="0.2">
      <c r="E995" s="19"/>
    </row>
    <row r="996" spans="5:5" ht="12.75" x14ac:dyDescent="0.2">
      <c r="E996" s="19"/>
    </row>
    <row r="997" spans="5:5" ht="12.75" x14ac:dyDescent="0.2">
      <c r="E997" s="19"/>
    </row>
    <row r="998" spans="5:5" ht="12.75" x14ac:dyDescent="0.2">
      <c r="E998" s="19"/>
    </row>
    <row r="999" spans="5:5" ht="12.75" x14ac:dyDescent="0.2">
      <c r="E999" s="19"/>
    </row>
    <row r="1000" spans="5:5" ht="12.75" x14ac:dyDescent="0.2">
      <c r="E1000" s="1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Responses 1</vt:lpstr>
      <vt:lpstr>Fanfud xərc</vt:lpstr>
      <vt:lpstr>Fanşop xərc</vt:lpstr>
      <vt:lpstr>Problemlər</vt:lpstr>
      <vt:lpstr>Uşaqlarla oyun</vt:lpstr>
      <vt:lpstr>Sheet9</vt:lpstr>
      <vt:lpstr>Ailə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Tural Piriyev</cp:lastModifiedBy>
  <dcterms:modified xsi:type="dcterms:W3CDTF">2026-08-26T12:26:06Z</dcterms:modified>
</cp:coreProperties>
</file>